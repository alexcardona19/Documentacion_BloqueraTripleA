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2. Artefactos técnicos/1.2.1. Diseño Arquitectónico/1.2.1.1. Drivers arquitectónicos/1.2.1.1.1. Atributos de calidad/"/>
    </mc:Choice>
  </mc:AlternateContent>
  <xr:revisionPtr revIDLastSave="705" documentId="11_C3C7D529481A32C0E453ED6014237E2C187D7F9A" xr6:coauthVersionLast="47" xr6:coauthVersionMax="47" xr10:uidLastSave="{17C01BE3-848F-49D0-8C5E-868E2FCBF8F4}"/>
  <bookViews>
    <workbookView xWindow="-28920" yWindow="2415" windowWidth="29040" windowHeight="15720" xr2:uid="{00000000-000D-0000-FFFF-FFFF00000000}"/>
  </bookViews>
  <sheets>
    <sheet name="Resumen" sheetId="1" r:id="rId1"/>
    <sheet name="Disponibilidad" sheetId="2" r:id="rId2"/>
    <sheet name="Experiencia de usuario" sheetId="5" r:id="rId3"/>
    <sheet name="Seguridad" sheetId="7" r:id="rId4"/>
    <sheet name="Confiabilidad" sheetId="6" r:id="rId5"/>
    <sheet name="Rendimiento" sheetId="9" r:id="rId6"/>
    <sheet name="Escalibalidad" sheetId="3" r:id="rId7"/>
    <sheet name="ESC-CAL- DISPONIBILIDAD" sheetId="10" r:id="rId8"/>
    <sheet name="ESC-CAL- EXPERIENCIA DE USUARIO" sheetId="8" r:id="rId9"/>
    <sheet name="ESC-CAL- SEGURIDAD" sheetId="11" r:id="rId10"/>
    <sheet name="ESC-CAL- CONFIBIALIDAD" sheetId="12" r:id="rId11"/>
    <sheet name="ESC-CAL- RENDIMIENTO" sheetId="14" r:id="rId12"/>
    <sheet name="ESC-CAL- ESCALABILIDAD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I4" i="1" s="1"/>
  <c r="D6" i="5"/>
  <c r="I5" i="1"/>
  <c r="J5" i="1"/>
  <c r="H5" i="1"/>
  <c r="I8" i="1"/>
  <c r="J8" i="1"/>
  <c r="H8" i="1"/>
  <c r="H7" i="1"/>
  <c r="I6" i="1"/>
  <c r="J6" i="1"/>
  <c r="H6" i="1"/>
  <c r="J4" i="1"/>
  <c r="J3" i="1"/>
  <c r="H4" i="1"/>
  <c r="I3" i="1"/>
  <c r="H3" i="1"/>
  <c r="D4" i="3"/>
  <c r="E4" i="3"/>
  <c r="E5" i="9"/>
  <c r="I7" i="1" s="1"/>
  <c r="D5" i="9"/>
  <c r="E6" i="6"/>
  <c r="D6" i="6"/>
  <c r="D7" i="7"/>
  <c r="E7" i="7"/>
  <c r="E5" i="2"/>
  <c r="D5" i="2"/>
  <c r="F3" i="3"/>
  <c r="F4" i="3" s="1"/>
  <c r="F2" i="3"/>
  <c r="F3" i="9"/>
  <c r="E4" i="9"/>
  <c r="F2" i="9"/>
  <c r="F5" i="9" s="1"/>
  <c r="J7" i="1" s="1"/>
  <c r="F3" i="6"/>
  <c r="F4" i="6"/>
  <c r="F5" i="6"/>
  <c r="F6" i="6" s="1"/>
  <c r="F2" i="6"/>
  <c r="F7" i="7"/>
  <c r="F3" i="7"/>
  <c r="F4" i="7"/>
  <c r="F5" i="7"/>
  <c r="F6" i="7"/>
  <c r="F2" i="7"/>
  <c r="F3" i="5"/>
  <c r="F6" i="5" s="1"/>
  <c r="F4" i="5"/>
  <c r="F5" i="5"/>
  <c r="F2" i="5"/>
  <c r="F5" i="2"/>
  <c r="F3" i="2"/>
  <c r="F4" i="2"/>
  <c r="F2" i="2"/>
  <c r="G3" i="1"/>
  <c r="F18" i="1"/>
  <c r="D5" i="1"/>
  <c r="D9" i="1"/>
  <c r="D6" i="1"/>
  <c r="D7" i="1"/>
  <c r="D10" i="1"/>
  <c r="D13" i="1"/>
  <c r="D11" i="1"/>
  <c r="D8" i="1"/>
  <c r="D14" i="1"/>
  <c r="D15" i="1"/>
  <c r="D4" i="1"/>
  <c r="D12" i="1"/>
  <c r="D16" i="1"/>
  <c r="D17" i="1"/>
  <c r="D3" i="1"/>
  <c r="D18" i="1" l="1"/>
  <c r="E13" i="1"/>
  <c r="E10" i="1"/>
  <c r="E7" i="1"/>
  <c r="E6" i="1"/>
  <c r="E9" i="1"/>
  <c r="E5" i="1"/>
  <c r="E17" i="1" l="1"/>
  <c r="E3" i="1"/>
  <c r="E16" i="1"/>
  <c r="E12" i="1"/>
  <c r="E4" i="1"/>
  <c r="E15" i="1"/>
  <c r="E14" i="1"/>
  <c r="E8" i="1"/>
  <c r="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tc={33B66BED-4C06-4DA6-8502-15F7EC18055C}</author>
    <author>tc={42E59D8E-E29A-4949-9087-6B856ECBE508}</author>
  </authors>
  <commentList>
    <comment ref="A2" authorId="0" shapeId="0" xr:uid="{33B66BED-4C06-4DA6-8502-15F7EC1805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Recuerden tenerlo en cuenta en el desarrollo.</t>
      </text>
    </comment>
    <comment ref="E3" authorId="1" shapeId="0" xr:uid="{42E59D8E-E29A-4949-9087-6B856ECBE508}">
      <text>
        <t>[Threaded comment]
Your version of Excel allows you to read this threaded comment; however, any edits to it will get removed if the file is opened in a newer version of Excel. Learn more: https://go.microsoft.com/fwlink/?linkid=870924
Comment:
    Debería sumar 100...  quitar los otros atributos.</t>
      </text>
    </comment>
  </commentList>
</comments>
</file>

<file path=xl/sharedStrings.xml><?xml version="1.0" encoding="utf-8"?>
<sst xmlns="http://schemas.openxmlformats.org/spreadsheetml/2006/main" count="574" uniqueCount="194">
  <si>
    <t>Atributos de calidad</t>
  </si>
  <si>
    <t>Mapa de empatia</t>
  </si>
  <si>
    <t>Total características</t>
  </si>
  <si>
    <t>Total votos</t>
  </si>
  <si>
    <t>Administrador</t>
  </si>
  <si>
    <t>Trabajador</t>
  </si>
  <si>
    <t>Priorizacion</t>
  </si>
  <si>
    <t>Total</t>
  </si>
  <si>
    <t>Porcentaje</t>
  </si>
  <si>
    <t xml:space="preserve">Disponibilidad </t>
  </si>
  <si>
    <t>Experiencia de usuario</t>
  </si>
  <si>
    <t>Seguridad</t>
  </si>
  <si>
    <t>Confiabilidad</t>
  </si>
  <si>
    <t>Rendimiento</t>
  </si>
  <si>
    <t>Escalabilidad</t>
  </si>
  <si>
    <t>Conformidad</t>
  </si>
  <si>
    <t>Capacidad para ser soportado</t>
  </si>
  <si>
    <t>Flexibilidad</t>
  </si>
  <si>
    <t>Mantenibilidad</t>
  </si>
  <si>
    <t>Accesibilidad</t>
  </si>
  <si>
    <t>Interoperabilidad</t>
  </si>
  <si>
    <t>Capacidad para ser probado</t>
  </si>
  <si>
    <t>Internacionalización</t>
  </si>
  <si>
    <t>Capacidad para ser administrado</t>
  </si>
  <si>
    <t> </t>
  </si>
  <si>
    <t>Características</t>
  </si>
  <si>
    <t>Adminsitrador</t>
  </si>
  <si>
    <t>El sistema no debe caerse durante el horario laboral.</t>
  </si>
  <si>
    <t>ESC-CAL- DISPONIBILIDAD</t>
  </si>
  <si>
    <t>Informe de errores.</t>
  </si>
  <si>
    <t>Soporte rápido ante incidentes.</t>
  </si>
  <si>
    <t>Interfaz intuitiva y simple para trabajadores sin experiencia técnica.</t>
  </si>
  <si>
    <t>ESC-CAL- EXPERIENCIA DE USUARIO</t>
  </si>
  <si>
    <t>Contraste de colores, tamaños y tipografías adaptados para fácil lectura.</t>
  </si>
  <si>
    <t>Textos y mensajes claros, sin tecnicismos, con ayuda contextual.</t>
  </si>
  <si>
    <t>Navegación amigable</t>
  </si>
  <si>
    <t>Control de acceso por roles (administrador, trabajador).</t>
  </si>
  <si>
    <t>ESC-CAL- SEGURIDAD</t>
  </si>
  <si>
    <t>Cifrado de datos sensibles.</t>
  </si>
  <si>
    <t>Reglas de contraseña segura y cambio periódico.</t>
  </si>
  <si>
    <t>Autenticación y rol</t>
  </si>
  <si>
    <t>Trazabilidad de la información</t>
  </si>
  <si>
    <t>Integridad transaccional</t>
  </si>
  <si>
    <t>ESC-CAL- CONFIABILIDAD</t>
  </si>
  <si>
    <t>Respaldo automático diario de la base de datos.</t>
  </si>
  <si>
    <t>Capacitación mínima requerida.</t>
  </si>
  <si>
    <t>Validación de datos en todas las operaciones críticas (ejemplo: no registrar pagos negativos o productos inexistentes).</t>
  </si>
  <si>
    <t>Tiempos de respuesta optimos</t>
  </si>
  <si>
    <t>ESC-CAL- RENDIMIENTO</t>
  </si>
  <si>
    <t>Capacidad para atender varios usuarios en simultáneo sin degradar la experiencia.</t>
  </si>
  <si>
    <t>Optimización de búsquedas y filtros en tablas y listados.</t>
  </si>
  <si>
    <t>Posibilidad de agregar nuevos usuarios y roles sin afectar el desempeño.</t>
  </si>
  <si>
    <t>ESC-CAL- ESCALABILIDAD</t>
  </si>
  <si>
    <t>Estructura flexible para añadir nuevos módulos</t>
  </si>
  <si>
    <t>Identificador del escenario de calidad:</t>
  </si>
  <si>
    <t>ESC-CAL- DISPONIBILIDAD-0001</t>
  </si>
  <si>
    <t>Nombre del escenario de calidad:</t>
  </si>
  <si>
    <t>Registro de ventas en horario laboral</t>
  </si>
  <si>
    <t>Tipo escenario:</t>
  </si>
  <si>
    <t>Horario laboral</t>
  </si>
  <si>
    <t>Descripción:</t>
  </si>
  <si>
    <t>Garantiza que el sistema permita registrar ventas en el horario laboral establecido.</t>
  </si>
  <si>
    <t>Fuente del estímulo</t>
  </si>
  <si>
    <t>Estímulo</t>
  </si>
  <si>
    <t>Ambiente</t>
  </si>
  <si>
    <t>Artefacto</t>
  </si>
  <si>
    <t>Respuesta</t>
  </si>
  <si>
    <t>Medida de la respuesta</t>
  </si>
  <si>
    <t>¿Cumplió?</t>
  </si>
  <si>
    <t>Registrar una venta</t>
  </si>
  <si>
    <t>Sistema</t>
  </si>
  <si>
    <t>El sistema permite completar el registro de la venta sin error.</t>
  </si>
  <si>
    <t>Registro exitoso de la venta en horario laboral.</t>
  </si>
  <si>
    <t>NO</t>
  </si>
  <si>
    <t>ESC-CAL- DISPONIBILIDAD-0002</t>
  </si>
  <si>
    <t>Básico</t>
  </si>
  <si>
    <t>El sistema debe estar disponible al menos el 99% del tiempo durante el mes.</t>
  </si>
  <si>
    <t xml:space="preserve">Sistema	</t>
  </si>
  <si>
    <t>error</t>
  </si>
  <si>
    <t>basico</t>
  </si>
  <si>
    <t>El sistema reporta los errores</t>
  </si>
  <si>
    <t>Reporte de errores</t>
  </si>
  <si>
    <t>ESC-CAL- DISPONIBILIDAD-0003</t>
  </si>
  <si>
    <t xml:space="preserve">Se debe brindar soporte tecnico en un tiempo adecuado </t>
  </si>
  <si>
    <t>Usuario</t>
  </si>
  <si>
    <t>Reporta Incidente</t>
  </si>
  <si>
    <t>soporte</t>
  </si>
  <si>
    <t>el usuario notifica al equipo de soporte</t>
  </si>
  <si>
    <t xml:space="preserve">Tiempo de respuesta del equipo técnico ante incidentes críticos </t>
  </si>
  <si>
    <t>ESC-CAL- EXPERIENCIA DE USUARIO-0001</t>
  </si>
  <si>
    <t>El sistema debe ser usable para trabajadores sin experiencia técnica,</t>
  </si>
  <si>
    <t>El sistema permite completar el registro sin errores ni ayuda externa</t>
  </si>
  <si>
    <t>Registro exitoso de la venta sin capacitación previa</t>
  </si>
  <si>
    <t>ESC-CAL- EXPERIENCIA DE USUARIO-0002</t>
  </si>
  <si>
    <t>Contraste de colores, tamaños y tipografías</t>
  </si>
  <si>
    <t>El sistema debe permitir la lectura y visualización clara en todo momento, minimizando el esfuerzo visual del usuario.</t>
  </si>
  <si>
    <t xml:space="preserve">Trabajador	</t>
  </si>
  <si>
    <t xml:space="preserve">Consultar productos	</t>
  </si>
  <si>
    <t xml:space="preserve">El trabajador visualiza correctamente datos y botones	</t>
  </si>
  <si>
    <t>Usuarios reconocen los elementos presentes en la pantalla</t>
  </si>
  <si>
    <t>ESC-CAL- EXPERIENCIA DE USUARIO - 0003</t>
  </si>
  <si>
    <t>Textos y mensajes claros, sin tecnicismos, con ayuda contextual</t>
  </si>
  <si>
    <t>El sistema debe mostrar mensajes comprensibles, sin tecnicismos, e incluir ayudas contextuales cuando se requiera.</t>
  </si>
  <si>
    <t xml:space="preserve">Recibe un mensaje/error	</t>
  </si>
  <si>
    <t xml:space="preserve">El usuario entiende el mensaje y toma acción adecuada	</t>
  </si>
  <si>
    <t xml:space="preserve">Prueba de usuario: comprensión y adecuación correcta de los mensajes	</t>
  </si>
  <si>
    <t>ESC-CAL- DISPONIBILIDAD DE USUARIO-0004</t>
  </si>
  <si>
    <t xml:space="preserve">El sistema debe permitir que el usuario navegue entre diferentes opciones sin perderse ni confundirse. </t>
  </si>
  <si>
    <t xml:space="preserve">Accede a diferentes módulos	</t>
  </si>
  <si>
    <t xml:space="preserve">El usuario encuentra la función/información deseada rápidamente	</t>
  </si>
  <si>
    <t>Tiempo o clics promedio para completar tareas clave</t>
  </si>
  <si>
    <t>ESC-CAL- SEGURIDAD-0001</t>
  </si>
  <si>
    <t xml:space="preserve">Control de acceso por roles </t>
  </si>
  <si>
    <t>El sistema debe garantizar que solo los usuarios autorizados accedan a las funciones correspondientes a su rol.</t>
  </si>
  <si>
    <t xml:space="preserve">Intentar acceder a función restringida	</t>
  </si>
  <si>
    <t>Basico</t>
  </si>
  <si>
    <t xml:space="preserve">El sistema deniega el acceso si el rol no corresponde	</t>
  </si>
  <si>
    <t xml:space="preserve">Registro de intentos de acceso denegado	</t>
  </si>
  <si>
    <t>ESC-CAL- SEGURIDAD-0002</t>
  </si>
  <si>
    <t>Cifrado de datos sensibles</t>
  </si>
  <si>
    <t>El sistema debe proteger la información sensible almacenada mediante cifrado adecuado.</t>
  </si>
  <si>
    <t xml:space="preserve">Acceso a la base de datos	</t>
  </si>
  <si>
    <t xml:space="preserve">Base de datos	</t>
  </si>
  <si>
    <t xml:space="preserve">Los datos sensibles deben aparecer cifrados	</t>
  </si>
  <si>
    <t xml:space="preserve">Los datos no pueden leerse sin la clave adecuada	</t>
  </si>
  <si>
    <t>ESC-CAL- SEGURIDAD-0003</t>
  </si>
  <si>
    <t>Reglas de contraseña segura y cambio periódico</t>
  </si>
  <si>
    <t>El sistema debe exigir contraseñas fuertes y solicitar su cambio periódico.</t>
  </si>
  <si>
    <t xml:space="preserve">Crear o cambiar contraseña	</t>
  </si>
  <si>
    <t xml:space="preserve">Solo acepta contraseñas que cumplen requisitos de seguridad y notifica sobre su caducidad	</t>
  </si>
  <si>
    <t xml:space="preserve">Contraseñas cumplen reglas y se cambian en el tiempo esperado	</t>
  </si>
  <si>
    <t>ESC-CAL- SEGURIDAD-0004</t>
  </si>
  <si>
    <t>El sistema debe verificar el rol de los usuarios antes de permitir los accesos a los diferentes componentes del sistema</t>
  </si>
  <si>
    <t xml:space="preserve">Iniciar sesión	</t>
  </si>
  <si>
    <t xml:space="preserve">El sistema valida credenciales y permite o rechaza acceso	</t>
  </si>
  <si>
    <t xml:space="preserve">Acceso solo con credenciales válidas y los accesos permitidos del rol	</t>
  </si>
  <si>
    <t>ESC-CAL- SEGURIDAD-0005</t>
  </si>
  <si>
    <t>El sistema debe registrar y permitir la auditoría de todas las acciones relevantes sobre datos críticos.</t>
  </si>
  <si>
    <t xml:space="preserve">Consultar historial de cambios	</t>
  </si>
  <si>
    <t xml:space="preserve">El sistema muestra el historial completo de acciones sobre los datos	</t>
  </si>
  <si>
    <t xml:space="preserve">Se puede rastrear quién, qué y cuándo se hizo	</t>
  </si>
  <si>
    <t>ESC-CAL-CONFIABILIDAD-0001</t>
  </si>
  <si>
    <t>El sistema debe garantizar que todas las transacciones sean completas y consistentes, evitando registros parciales o duplicados.</t>
  </si>
  <si>
    <t>Registrar venta o pago de venta</t>
  </si>
  <si>
    <t xml:space="preserve">La operación se realiza completamente o no se ejecuta	</t>
  </si>
  <si>
    <t xml:space="preserve">No existen registros parciales o inconsistentes	</t>
  </si>
  <si>
    <t>ESC-CAL-CONFIABILIDAD-0002</t>
  </si>
  <si>
    <t>Respaldo automático diario de la base de datos</t>
  </si>
  <si>
    <t>El sistema debe realizar copias de seguridad automáticas de la base de datos todos los días para prevenir pérdida de información.</t>
  </si>
  <si>
    <t xml:space="preserve">Fin de la semana laboral	</t>
  </si>
  <si>
    <t xml:space="preserve">El sistema ejecuta y almacena un respaldo	</t>
  </si>
  <si>
    <t xml:space="preserve">Respaldo disponible y actualizado	</t>
  </si>
  <si>
    <t>ESC-CAL-CONFIABILIDAD-0003</t>
  </si>
  <si>
    <t>Capacitación mínima requerida</t>
  </si>
  <si>
    <t>El sistema debe ser tan claro e intuitivo que cualquier trabajador pueda operar sin requerir capacitación extensa.</t>
  </si>
  <si>
    <t xml:space="preserve">Registrar venta	</t>
  </si>
  <si>
    <t xml:space="preserve">El trabajador puede registrar la venta facilmente	</t>
  </si>
  <si>
    <t xml:space="preserve">Registro exitoso 	</t>
  </si>
  <si>
    <t>ESC-CAL-CONFIABILIDAD-0004</t>
  </si>
  <si>
    <t>Validación de datos en operaciones críticas</t>
  </si>
  <si>
    <t>El sistema debe validar datos en cada operación crítica, evitando registros erróneos como pagos negativos o productos inexistentes.</t>
  </si>
  <si>
    <t xml:space="preserve">Registrar pago o producto inexistente	</t>
  </si>
  <si>
    <t xml:space="preserve">El sistema rechaza el registro y muestra mensaje claro de error	</t>
  </si>
  <si>
    <t xml:space="preserve">No se permiten datos inválidos	</t>
  </si>
  <si>
    <t>ESC-CAL-RENDIMIENTO-0001</t>
  </si>
  <si>
    <t>Tiempos de respuesta óptimos</t>
  </si>
  <si>
    <t>El sistema debe responder en menos de 5 segundos a cualquier acción realizada por el usuario .</t>
  </si>
  <si>
    <t xml:space="preserve">Consultar listado	</t>
  </si>
  <si>
    <t xml:space="preserve">El sistema responde la consulta rápidamente	</t>
  </si>
  <si>
    <t xml:space="preserve">Tiempo de respuesta &lt; 5 segundos	</t>
  </si>
  <si>
    <t>ESC-CAL-RENDIMIENTO-0002</t>
  </si>
  <si>
    <t>Capacidad para atender varios usuarios en simultáneo sin degradar la experiencia</t>
  </si>
  <si>
    <t>El sistema debe permitir que múltiples usuarios operen al mismo tiempo, sin degradar los tiempos de respuesta.</t>
  </si>
  <si>
    <t xml:space="preserve">Registrar ventas simultáneas	</t>
  </si>
  <si>
    <t xml:space="preserve">El sistema procesa todas las ventas sin retraso	</t>
  </si>
  <si>
    <t xml:space="preserve">Ningún usuario experimenta lentitud	</t>
  </si>
  <si>
    <t>ESC-CAL-RENDIMIENTO-0003</t>
  </si>
  <si>
    <t>Optimización de búsquedas, filtros en tablas y listados</t>
  </si>
  <si>
    <t>El sistema debe permitir búsquedas y filtrados ágiles en todas las tablas y listados, incluso con grandes volúmenes de datos.</t>
  </si>
  <si>
    <t xml:space="preserve">Buscar o filtrar registros	</t>
  </si>
  <si>
    <t xml:space="preserve">El sistema muestra los resultados rapidamente	</t>
  </si>
  <si>
    <t xml:space="preserve">Resultados mostrados en &lt; 5 segundos	</t>
  </si>
  <si>
    <t>ESC-CAL-ESCALABILIDAD-0001</t>
  </si>
  <si>
    <t>Posibilidad de agregar nuevos roles sin afectar el software</t>
  </si>
  <si>
    <t>la arquitectura y el diseño debe permitir la creación de nuevos roles adicionales sin degradar la velocidad de respuesta.</t>
  </si>
  <si>
    <t xml:space="preserve">Administrador	</t>
  </si>
  <si>
    <t xml:space="preserve">Solicita al equipo técnico la inclusión de un nuevo rol en el sistema </t>
  </si>
  <si>
    <t xml:space="preserve">El sistema registra nuevos roles sin afectar los existentes	</t>
  </si>
  <si>
    <t>No se ven afectados los roles previos y persisten en el sistema</t>
  </si>
  <si>
    <t>ESC-CAL-ESCALABILIDAD-0002</t>
  </si>
  <si>
    <t>La arquitectura del sistema debe permitir la incorporación de nuevas funcionalidades sin afectar los procesos actuales ni requerir reestructuraciones mayores</t>
  </si>
  <si>
    <t xml:space="preserve">Solicitar nuevo módulo	</t>
  </si>
  <si>
    <t>Se integra el nuevo módulo sin afectar módulos existentes</t>
  </si>
  <si>
    <t xml:space="preserve">El sistema funciona correctamente después de añadir el módulo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</si>
</sst>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1155CC"/>
      <name val="Calibri"/>
    </font>
    <font>
      <sz val="11"/>
      <color rgb="FF000000"/>
      <name val="Roboto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5" xfId="0" applyFont="1" applyBorder="1"/>
    <xf numFmtId="0" fontId="3" fillId="0" borderId="5" xfId="0" applyFont="1" applyBorder="1"/>
    <xf numFmtId="0" fontId="3" fillId="0" borderId="2" xfId="0" applyFont="1" applyBorder="1"/>
    <xf numFmtId="9" fontId="3" fillId="0" borderId="5" xfId="0" applyNumberFormat="1" applyFont="1" applyBorder="1"/>
    <xf numFmtId="0" fontId="3" fillId="0" borderId="0" xfId="0" applyFont="1"/>
    <xf numFmtId="0" fontId="2" fillId="5" borderId="5" xfId="0" applyFont="1" applyFill="1" applyBorder="1"/>
    <xf numFmtId="0" fontId="3" fillId="7" borderId="5" xfId="0" applyFont="1" applyFill="1" applyBorder="1"/>
    <xf numFmtId="9" fontId="3" fillId="7" borderId="5" xfId="0" applyNumberFormat="1" applyFont="1" applyFill="1" applyBorder="1"/>
    <xf numFmtId="0" fontId="3" fillId="8" borderId="5" xfId="0" applyFont="1" applyFill="1" applyBorder="1"/>
    <xf numFmtId="9" fontId="3" fillId="8" borderId="5" xfId="0" applyNumberFormat="1" applyFont="1" applyFill="1" applyBorder="1"/>
    <xf numFmtId="0" fontId="2" fillId="0" borderId="1" xfId="0" applyFont="1" applyBorder="1"/>
    <xf numFmtId="0" fontId="1" fillId="9" borderId="2" xfId="1" applyFill="1" applyBorder="1" applyAlignment="1"/>
    <xf numFmtId="0" fontId="1" fillId="9" borderId="2" xfId="2" applyFill="1" applyBorder="1"/>
    <xf numFmtId="0" fontId="2" fillId="0" borderId="11" xfId="0" applyFont="1" applyBorder="1"/>
    <xf numFmtId="0" fontId="3" fillId="0" borderId="11" xfId="0" applyFont="1" applyBorder="1"/>
    <xf numFmtId="0" fontId="0" fillId="0" borderId="11" xfId="0" applyBorder="1"/>
    <xf numFmtId="0" fontId="3" fillId="2" borderId="11" xfId="0" applyFont="1" applyFill="1" applyBorder="1"/>
    <xf numFmtId="0" fontId="1" fillId="0" borderId="11" xfId="2" applyFill="1" applyBorder="1" applyAlignment="1"/>
    <xf numFmtId="0" fontId="4" fillId="0" borderId="11" xfId="0" applyFont="1" applyBorder="1"/>
    <xf numFmtId="0" fontId="3" fillId="3" borderId="11" xfId="0" applyFont="1" applyFill="1" applyBorder="1"/>
    <xf numFmtId="0" fontId="3" fillId="2" borderId="13" xfId="0" applyFont="1" applyFill="1" applyBorder="1"/>
    <xf numFmtId="0" fontId="0" fillId="0" borderId="13" xfId="0" applyBorder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2" xfId="0" applyFont="1" applyBorder="1"/>
    <xf numFmtId="0" fontId="2" fillId="0" borderId="11" xfId="0" applyFont="1" applyBorder="1" applyAlignment="1">
      <alignment horizontal="center"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6" borderId="10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5" fillId="4" borderId="7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2" fillId="0" borderId="4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1" fontId="3" fillId="0" borderId="6" xfId="0" applyNumberFormat="1" applyFont="1" applyBorder="1" applyAlignment="1"/>
    <xf numFmtId="1" fontId="3" fillId="0" borderId="2" xfId="0" applyNumberFormat="1" applyFont="1" applyBorder="1" applyAlignment="1"/>
    <xf numFmtId="0" fontId="2" fillId="4" borderId="7" xfId="0" applyFont="1" applyFill="1" applyBorder="1" applyAlignment="1"/>
    <xf numFmtId="0" fontId="2" fillId="4" borderId="4" xfId="0" applyFont="1" applyFill="1" applyBorder="1" applyAlignment="1"/>
    <xf numFmtId="0" fontId="2" fillId="4" borderId="3" xfId="0" applyFont="1" applyFill="1" applyBorder="1" applyAlignment="1"/>
    <xf numFmtId="0" fontId="3" fillId="4" borderId="4" xfId="0" applyFont="1" applyFill="1" applyBorder="1" applyAlignment="1"/>
    <xf numFmtId="0" fontId="3" fillId="4" borderId="3" xfId="0" applyFont="1" applyFill="1" applyBorder="1" applyAlignment="1"/>
    <xf numFmtId="0" fontId="2" fillId="5" borderId="7" xfId="0" applyFont="1" applyFill="1" applyBorder="1" applyAlignment="1"/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3" fillId="6" borderId="8" xfId="0" applyFont="1" applyFill="1" applyBorder="1" applyAlignment="1"/>
    <xf numFmtId="0" fontId="3" fillId="6" borderId="9" xfId="0" applyFont="1" applyFill="1" applyBorder="1" applyAlignment="1"/>
    <xf numFmtId="0" fontId="3" fillId="6" borderId="6" xfId="0" applyFont="1" applyFill="1" applyBorder="1" applyAlignment="1"/>
    <xf numFmtId="0" fontId="3" fillId="6" borderId="10" xfId="0" applyFont="1" applyFill="1" applyBorder="1" applyAlignment="1"/>
    <xf numFmtId="0" fontId="3" fillId="6" borderId="5" xfId="0" applyFont="1" applyFill="1" applyBorder="1" applyAlignment="1"/>
    <xf numFmtId="0" fontId="3" fillId="6" borderId="2" xfId="0" applyFont="1" applyFill="1" applyBorder="1" applyAlignme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Resumen!$B$2</c:f>
              <c:strCache>
                <c:ptCount val="1"/>
                <c:pt idx="0">
                  <c:v>Administrador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Resumen!$A$3:$A$17</c:f>
              <c:strCache>
                <c:ptCount val="15"/>
                <c:pt idx="0">
                  <c:v>Disponibilidad </c:v>
                </c:pt>
                <c:pt idx="1">
                  <c:v>Experiencia de usuario</c:v>
                </c:pt>
                <c:pt idx="2">
                  <c:v>Seguridad</c:v>
                </c:pt>
                <c:pt idx="3">
                  <c:v>Confiabilidad</c:v>
                </c:pt>
                <c:pt idx="4">
                  <c:v>Rendimiento</c:v>
                </c:pt>
                <c:pt idx="5">
                  <c:v>Escalabilidad</c:v>
                </c:pt>
                <c:pt idx="6">
                  <c:v>Conformidad</c:v>
                </c:pt>
                <c:pt idx="7">
                  <c:v>Capacidad para ser soportado</c:v>
                </c:pt>
                <c:pt idx="8">
                  <c:v>Flexibilidad</c:v>
                </c:pt>
                <c:pt idx="9">
                  <c:v>Mantenibilidad</c:v>
                </c:pt>
                <c:pt idx="10">
                  <c:v>Accesibilidad</c:v>
                </c:pt>
                <c:pt idx="11">
                  <c:v>Interoperabilidad</c:v>
                </c:pt>
                <c:pt idx="12">
                  <c:v>Capacidad para ser probado</c:v>
                </c:pt>
                <c:pt idx="13">
                  <c:v>Internacionalización</c:v>
                </c:pt>
                <c:pt idx="14">
                  <c:v>Capacidad para ser administrado</c:v>
                </c:pt>
              </c:strCache>
            </c:strRef>
          </c:cat>
          <c:val>
            <c:numRef>
              <c:f>Resumen!$B$3:$B$17</c:f>
              <c:numCache>
                <c:formatCode>General</c:formatCode>
                <c:ptCount val="15"/>
                <c:pt idx="0">
                  <c:v>15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A-436D-BB2E-2769FC597531}"/>
            </c:ext>
          </c:extLst>
        </c:ser>
        <c:ser>
          <c:idx val="1"/>
          <c:order val="1"/>
          <c:tx>
            <c:strRef>
              <c:f>Resumen!$C$2</c:f>
              <c:strCache>
                <c:ptCount val="1"/>
                <c:pt idx="0">
                  <c:v>Trabajador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Resumen!$A$3:$A$17</c:f>
              <c:strCache>
                <c:ptCount val="15"/>
                <c:pt idx="0">
                  <c:v>Disponibilidad </c:v>
                </c:pt>
                <c:pt idx="1">
                  <c:v>Experiencia de usuario</c:v>
                </c:pt>
                <c:pt idx="2">
                  <c:v>Seguridad</c:v>
                </c:pt>
                <c:pt idx="3">
                  <c:v>Confiabilidad</c:v>
                </c:pt>
                <c:pt idx="4">
                  <c:v>Rendimiento</c:v>
                </c:pt>
                <c:pt idx="5">
                  <c:v>Escalabilidad</c:v>
                </c:pt>
                <c:pt idx="6">
                  <c:v>Conformidad</c:v>
                </c:pt>
                <c:pt idx="7">
                  <c:v>Capacidad para ser soportado</c:v>
                </c:pt>
                <c:pt idx="8">
                  <c:v>Flexibilidad</c:v>
                </c:pt>
                <c:pt idx="9">
                  <c:v>Mantenibilidad</c:v>
                </c:pt>
                <c:pt idx="10">
                  <c:v>Accesibilidad</c:v>
                </c:pt>
                <c:pt idx="11">
                  <c:v>Interoperabilidad</c:v>
                </c:pt>
                <c:pt idx="12">
                  <c:v>Capacidad para ser probado</c:v>
                </c:pt>
                <c:pt idx="13">
                  <c:v>Internacionalización</c:v>
                </c:pt>
                <c:pt idx="14">
                  <c:v>Capacidad para ser administrado</c:v>
                </c:pt>
              </c:strCache>
            </c:strRef>
          </c:cat>
          <c:val>
            <c:numRef>
              <c:f>Resumen!$C$3:$C$17</c:f>
              <c:numCache>
                <c:formatCode>General</c:formatCode>
                <c:ptCount val="15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13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A-436D-BB2E-2769FC597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933812"/>
        <c:axId val="1211629333"/>
      </c:radarChart>
      <c:catAx>
        <c:axId val="5909338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1629333"/>
        <c:crosses val="autoZero"/>
        <c:auto val="1"/>
        <c:lblAlgn val="ctr"/>
        <c:lblOffset val="100"/>
        <c:noMultiLvlLbl val="1"/>
      </c:catAx>
      <c:valAx>
        <c:axId val="12116293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09338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21</xdr:row>
      <xdr:rowOff>9525</xdr:rowOff>
    </xdr:from>
    <xdr:ext cx="7753350" cy="46196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73BB16F8-EA35-407C-AB9E-09557032A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z Mery Rios Alzate" id="{0AC2BF67-FAA5-412D-B303-7EACB6D92143}" userId="S::lrios@uco.edu.co::2c6e6b4f-8f58-4e67-a209-b646ce663b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8-22T17:08:47.11" personId="{0AC2BF67-FAA5-412D-B303-7EACB6D92143}" id="{33B66BED-4C06-4DA6-8502-15F7EC18055C}">
    <text>Recuerden tenerlo en cuenta en el desarrollo.</text>
  </threadedComment>
  <threadedComment ref="E3" dT="2026-01-26T22:03:46.46" personId="{0AC2BF67-FAA5-412D-B303-7EACB6D92143}" id="{42E59D8E-E29A-4949-9087-6B856ECBE508}">
    <text>Debería sumar 100...  quitar los otros atributos.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E3" sqref="E3:E8"/>
    </sheetView>
  </sheetViews>
  <sheetFormatPr defaultColWidth="9.140625" defaultRowHeight="15"/>
  <cols>
    <col min="1" max="1" width="39.42578125" customWidth="1"/>
    <col min="2" max="2" width="20.5703125" customWidth="1"/>
    <col min="3" max="3" width="17.7109375" customWidth="1"/>
    <col min="5" max="5" width="23.85546875" customWidth="1"/>
    <col min="6" max="6" width="25.7109375" customWidth="1"/>
    <col min="7" max="7" width="21.5703125" customWidth="1"/>
    <col min="8" max="8" width="20.140625" customWidth="1"/>
    <col min="9" max="9" width="16.42578125" customWidth="1"/>
    <col min="10" max="10" width="25.42578125" customWidth="1"/>
  </cols>
  <sheetData>
    <row r="1" spans="1:10">
      <c r="A1" s="11" t="s">
        <v>0</v>
      </c>
      <c r="B1" s="53" t="s">
        <v>1</v>
      </c>
      <c r="C1" s="53"/>
      <c r="D1" s="53"/>
      <c r="E1" s="54"/>
      <c r="F1" s="55" t="s">
        <v>2</v>
      </c>
      <c r="G1" s="55" t="s">
        <v>3</v>
      </c>
      <c r="H1" s="55" t="s">
        <v>4</v>
      </c>
      <c r="I1" s="55" t="s">
        <v>5</v>
      </c>
      <c r="J1" s="55" t="s">
        <v>6</v>
      </c>
    </row>
    <row r="2" spans="1:10">
      <c r="A2" s="11" t="s">
        <v>0</v>
      </c>
      <c r="B2" s="1" t="s">
        <v>4</v>
      </c>
      <c r="C2" s="1" t="s">
        <v>5</v>
      </c>
      <c r="D2" s="1" t="s">
        <v>7</v>
      </c>
      <c r="E2" s="1" t="s">
        <v>8</v>
      </c>
      <c r="F2" s="56"/>
      <c r="G2" s="56"/>
      <c r="H2" s="56"/>
      <c r="I2" s="56"/>
      <c r="J2" s="56"/>
    </row>
    <row r="3" spans="1:10">
      <c r="A3" s="12" t="s">
        <v>9</v>
      </c>
      <c r="B3" s="9">
        <v>15</v>
      </c>
      <c r="C3" s="9">
        <v>14</v>
      </c>
      <c r="D3" s="9">
        <f t="shared" ref="D3:D17" si="0">B3+C3</f>
        <v>29</v>
      </c>
      <c r="E3" s="10">
        <f t="shared" ref="E3:E17" si="1">D3/$D$18</f>
        <v>0.12083333333333333</v>
      </c>
      <c r="F3" s="2">
        <v>3</v>
      </c>
      <c r="G3" s="57">
        <f>F18/2+1</f>
        <v>11.5</v>
      </c>
      <c r="H3" s="2">
        <f>Disponibilidad!D5</f>
        <v>2</v>
      </c>
      <c r="I3" s="2">
        <f>Disponibilidad!E5</f>
        <v>2</v>
      </c>
      <c r="J3" s="2">
        <f>Disponibilidad!F5</f>
        <v>4</v>
      </c>
    </row>
    <row r="4" spans="1:10">
      <c r="A4" s="13" t="s">
        <v>10</v>
      </c>
      <c r="B4" s="9">
        <v>12</v>
      </c>
      <c r="C4" s="9">
        <v>15</v>
      </c>
      <c r="D4" s="9">
        <f t="shared" si="0"/>
        <v>27</v>
      </c>
      <c r="E4" s="10">
        <f t="shared" si="1"/>
        <v>0.1125</v>
      </c>
      <c r="F4" s="2">
        <v>4</v>
      </c>
      <c r="G4" s="57"/>
      <c r="H4" s="2">
        <f>'Experiencia de usuario'!D6</f>
        <v>3</v>
      </c>
      <c r="I4" s="2">
        <f>'Experiencia de usuario'!E6</f>
        <v>4</v>
      </c>
      <c r="J4" s="2">
        <f>'Experiencia de usuario'!F6</f>
        <v>7</v>
      </c>
    </row>
    <row r="5" spans="1:10">
      <c r="A5" s="12" t="s">
        <v>11</v>
      </c>
      <c r="B5" s="9">
        <v>14</v>
      </c>
      <c r="C5" s="9">
        <v>11</v>
      </c>
      <c r="D5" s="9">
        <f t="shared" si="0"/>
        <v>25</v>
      </c>
      <c r="E5" s="10">
        <f t="shared" si="1"/>
        <v>0.10416666666666667</v>
      </c>
      <c r="F5" s="2">
        <v>5</v>
      </c>
      <c r="G5" s="57"/>
      <c r="H5" s="2">
        <f>Seguridad!D7</f>
        <v>3</v>
      </c>
      <c r="I5" s="2">
        <f>Seguridad!E7</f>
        <v>1</v>
      </c>
      <c r="J5" s="2">
        <f>Seguridad!F7</f>
        <v>4</v>
      </c>
    </row>
    <row r="6" spans="1:10">
      <c r="A6" s="12" t="s">
        <v>12</v>
      </c>
      <c r="B6" s="9">
        <v>10</v>
      </c>
      <c r="C6" s="9">
        <v>13</v>
      </c>
      <c r="D6" s="9">
        <f t="shared" si="0"/>
        <v>23</v>
      </c>
      <c r="E6" s="10">
        <f t="shared" si="1"/>
        <v>9.583333333333334E-2</v>
      </c>
      <c r="F6" s="2">
        <v>4</v>
      </c>
      <c r="G6" s="57"/>
      <c r="H6" s="2">
        <f>Confiabilidad!D6</f>
        <v>2</v>
      </c>
      <c r="I6" s="2">
        <f>Confiabilidad!E6</f>
        <v>3</v>
      </c>
      <c r="J6" s="2">
        <f>Confiabilidad!F6</f>
        <v>5</v>
      </c>
    </row>
    <row r="7" spans="1:10">
      <c r="A7" s="12" t="s">
        <v>13</v>
      </c>
      <c r="B7" s="9">
        <v>11</v>
      </c>
      <c r="C7" s="9">
        <v>12</v>
      </c>
      <c r="D7" s="9">
        <f t="shared" si="0"/>
        <v>23</v>
      </c>
      <c r="E7" s="10">
        <f t="shared" si="1"/>
        <v>9.583333333333334E-2</v>
      </c>
      <c r="F7" s="2">
        <v>3</v>
      </c>
      <c r="G7" s="57"/>
      <c r="H7" s="2">
        <f>Rendimiento!D5</f>
        <v>1</v>
      </c>
      <c r="I7" s="2">
        <f>Rendimiento!E5</f>
        <v>2</v>
      </c>
      <c r="J7" s="2">
        <f>Rendimiento!F5</f>
        <v>1</v>
      </c>
    </row>
    <row r="8" spans="1:10">
      <c r="A8" s="13" t="s">
        <v>14</v>
      </c>
      <c r="B8" s="9">
        <v>13</v>
      </c>
      <c r="C8" s="9">
        <v>10</v>
      </c>
      <c r="D8" s="9">
        <f t="shared" si="0"/>
        <v>23</v>
      </c>
      <c r="E8" s="10">
        <f t="shared" si="1"/>
        <v>9.583333333333334E-2</v>
      </c>
      <c r="F8" s="2">
        <v>2</v>
      </c>
      <c r="G8" s="57"/>
      <c r="H8" s="2">
        <f>Escalibalidad!D4</f>
        <v>2</v>
      </c>
      <c r="I8" s="2">
        <f>Escalibalidad!E4</f>
        <v>0</v>
      </c>
      <c r="J8" s="2">
        <f>Escalibalidad!F4</f>
        <v>2</v>
      </c>
    </row>
    <row r="9" spans="1:10">
      <c r="A9" t="s">
        <v>15</v>
      </c>
      <c r="B9" s="7">
        <v>9</v>
      </c>
      <c r="C9" s="7">
        <v>8</v>
      </c>
      <c r="D9" s="7">
        <f t="shared" si="0"/>
        <v>17</v>
      </c>
      <c r="E9" s="8">
        <f t="shared" si="1"/>
        <v>7.0833333333333331E-2</v>
      </c>
      <c r="F9" s="2">
        <v>0</v>
      </c>
      <c r="G9" s="57"/>
      <c r="H9" s="2">
        <v>0</v>
      </c>
      <c r="I9" s="2">
        <v>0</v>
      </c>
      <c r="J9" s="2">
        <v>0</v>
      </c>
    </row>
    <row r="10" spans="1:10">
      <c r="A10" t="s">
        <v>16</v>
      </c>
      <c r="B10" s="7">
        <v>7</v>
      </c>
      <c r="C10" s="7">
        <v>9</v>
      </c>
      <c r="D10" s="7">
        <f t="shared" si="0"/>
        <v>16</v>
      </c>
      <c r="E10" s="8">
        <f t="shared" si="1"/>
        <v>6.6666666666666666E-2</v>
      </c>
      <c r="F10" s="2">
        <v>0</v>
      </c>
      <c r="G10" s="57"/>
      <c r="H10" s="2">
        <v>0</v>
      </c>
      <c r="I10" s="2">
        <v>0</v>
      </c>
      <c r="J10" s="2">
        <v>0</v>
      </c>
    </row>
    <row r="11" spans="1:10">
      <c r="A11" s="3" t="s">
        <v>17</v>
      </c>
      <c r="B11" s="2">
        <v>8</v>
      </c>
      <c r="C11" s="2">
        <v>7</v>
      </c>
      <c r="D11" s="2">
        <f t="shared" si="0"/>
        <v>15</v>
      </c>
      <c r="E11" s="8">
        <f t="shared" si="1"/>
        <v>6.25E-2</v>
      </c>
      <c r="F11" s="2">
        <v>0</v>
      </c>
      <c r="G11" s="57"/>
      <c r="H11" s="2">
        <v>0</v>
      </c>
      <c r="I11" s="2">
        <v>0</v>
      </c>
      <c r="J11" s="2">
        <v>0</v>
      </c>
    </row>
    <row r="12" spans="1:10">
      <c r="A12" s="3" t="s">
        <v>18</v>
      </c>
      <c r="B12" s="2">
        <v>6</v>
      </c>
      <c r="C12" s="2">
        <v>6</v>
      </c>
      <c r="D12" s="2">
        <f t="shared" si="0"/>
        <v>12</v>
      </c>
      <c r="E12" s="8">
        <f t="shared" si="1"/>
        <v>0.05</v>
      </c>
      <c r="F12" s="2">
        <v>0</v>
      </c>
      <c r="G12" s="57"/>
      <c r="H12" s="2">
        <v>0</v>
      </c>
      <c r="I12" s="2">
        <v>0</v>
      </c>
      <c r="J12" s="2">
        <v>0</v>
      </c>
    </row>
    <row r="13" spans="1:10">
      <c r="A13" s="3" t="s">
        <v>19</v>
      </c>
      <c r="B13" s="2">
        <v>5</v>
      </c>
      <c r="C13" s="2">
        <v>5</v>
      </c>
      <c r="D13" s="2">
        <f t="shared" si="0"/>
        <v>10</v>
      </c>
      <c r="E13" s="8">
        <f t="shared" si="1"/>
        <v>4.1666666666666664E-2</v>
      </c>
      <c r="F13" s="2">
        <v>0</v>
      </c>
      <c r="G13" s="57"/>
      <c r="H13" s="2">
        <v>0</v>
      </c>
      <c r="I13" s="2">
        <v>0</v>
      </c>
      <c r="J13" s="2">
        <v>0</v>
      </c>
    </row>
    <row r="14" spans="1:10">
      <c r="A14" s="3" t="s">
        <v>20</v>
      </c>
      <c r="B14" s="2">
        <v>2</v>
      </c>
      <c r="C14" s="2">
        <v>4</v>
      </c>
      <c r="D14" s="2">
        <f t="shared" si="0"/>
        <v>6</v>
      </c>
      <c r="E14" s="8">
        <f t="shared" si="1"/>
        <v>2.5000000000000001E-2</v>
      </c>
      <c r="F14" s="2">
        <v>0</v>
      </c>
      <c r="G14" s="57"/>
      <c r="H14" s="2">
        <v>0</v>
      </c>
      <c r="I14" s="2">
        <v>0</v>
      </c>
      <c r="J14" s="2">
        <v>0</v>
      </c>
    </row>
    <row r="15" spans="1:10">
      <c r="A15" s="3" t="s">
        <v>21</v>
      </c>
      <c r="B15" s="2">
        <v>4</v>
      </c>
      <c r="C15" s="2">
        <v>2</v>
      </c>
      <c r="D15" s="2">
        <f t="shared" si="0"/>
        <v>6</v>
      </c>
      <c r="E15" s="8">
        <f t="shared" si="1"/>
        <v>2.5000000000000001E-2</v>
      </c>
      <c r="F15" s="2">
        <v>0</v>
      </c>
      <c r="G15" s="57"/>
      <c r="H15" s="2">
        <v>0</v>
      </c>
      <c r="I15" s="2">
        <v>0</v>
      </c>
      <c r="J15" s="2">
        <v>0</v>
      </c>
    </row>
    <row r="16" spans="1:10">
      <c r="A16" s="3" t="s">
        <v>22</v>
      </c>
      <c r="B16" s="2">
        <v>3</v>
      </c>
      <c r="C16" s="2">
        <v>3</v>
      </c>
      <c r="D16" s="2">
        <f t="shared" si="0"/>
        <v>6</v>
      </c>
      <c r="E16" s="8">
        <f t="shared" si="1"/>
        <v>2.5000000000000001E-2</v>
      </c>
      <c r="F16" s="2">
        <v>0</v>
      </c>
      <c r="G16" s="57"/>
      <c r="H16" s="2">
        <v>0</v>
      </c>
      <c r="I16" s="2">
        <v>0</v>
      </c>
      <c r="J16" s="2">
        <v>0</v>
      </c>
    </row>
    <row r="17" spans="1:10">
      <c r="A17" s="3" t="s">
        <v>23</v>
      </c>
      <c r="B17" s="2">
        <v>1</v>
      </c>
      <c r="C17" s="2">
        <v>1</v>
      </c>
      <c r="D17" s="2">
        <f t="shared" si="0"/>
        <v>2</v>
      </c>
      <c r="E17" s="8">
        <f t="shared" si="1"/>
        <v>8.3333333333333332E-3</v>
      </c>
      <c r="F17" s="2">
        <v>0</v>
      </c>
      <c r="G17" s="58"/>
      <c r="H17" s="2">
        <v>0</v>
      </c>
      <c r="I17" s="2">
        <v>0</v>
      </c>
      <c r="J17" s="2">
        <v>0</v>
      </c>
    </row>
    <row r="18" spans="1:10">
      <c r="A18" s="3" t="s">
        <v>24</v>
      </c>
      <c r="B18" s="2">
        <v>120</v>
      </c>
      <c r="C18" s="2">
        <v>120</v>
      </c>
      <c r="D18" s="2">
        <f>SUM(D3:D17)</f>
        <v>240</v>
      </c>
      <c r="E18" s="4">
        <v>1</v>
      </c>
      <c r="F18" s="2">
        <f>SUM(F3:F8)</f>
        <v>21</v>
      </c>
      <c r="G18" s="2" t="s">
        <v>24</v>
      </c>
      <c r="H18" s="2">
        <v>0</v>
      </c>
      <c r="I18" s="2">
        <v>0</v>
      </c>
      <c r="J18" s="2" t="s">
        <v>24</v>
      </c>
    </row>
    <row r="19" spans="1:10">
      <c r="A19" s="3" t="s">
        <v>24</v>
      </c>
      <c r="B19" s="2" t="s">
        <v>24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</row>
  </sheetData>
  <sortState xmlns:xlrd2="http://schemas.microsoft.com/office/spreadsheetml/2017/richdata2" ref="A4:E17">
    <sortCondition descending="1" ref="E4:E17"/>
  </sortState>
  <mergeCells count="7">
    <mergeCell ref="J1:J2"/>
    <mergeCell ref="G3:G17"/>
    <mergeCell ref="B1:E1"/>
    <mergeCell ref="F1:F2"/>
    <mergeCell ref="G1:G2"/>
    <mergeCell ref="H1:H2"/>
    <mergeCell ref="I1:I2"/>
  </mergeCells>
  <hyperlinks>
    <hyperlink ref="A3" location="Disponibilidad!A1" display="Disponibilidad " xr:uid="{3A0B4359-C887-4313-92D8-F10ADAF5B12B}"/>
    <hyperlink ref="A5" location="Seguridad!A1" display="Seguridad" xr:uid="{A6BEF2A2-149D-4643-A1F7-778FE74AB821}"/>
    <hyperlink ref="A6" location="Confiabilidad!A1" display="Confiabilidad" xr:uid="{9011D31F-F5BE-49D2-B733-0179E644E7E9}"/>
    <hyperlink ref="A7" location="Rendimiento!A1" display="Rendimiento" xr:uid="{2E198608-63E0-4D6B-836C-0CE99CCC80B7}"/>
    <hyperlink ref="A4" location="'Experiencia de usuario'!A1" display="Experiencia de usuario" xr:uid="{4777ED5F-2E9C-4EC1-BB79-F7B5A914D919}"/>
    <hyperlink ref="A8" location="Escalibalidad!A1" display="Escalabilidad" xr:uid="{86E34291-23A0-44CE-8C1A-ADEDEE5AFF7B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29AA-5713-46FE-9E57-3F84A2FA1E09}">
  <dimension ref="A1:F5"/>
  <sheetViews>
    <sheetView workbookViewId="0">
      <selection activeCell="C2" sqref="C2"/>
    </sheetView>
  </sheetViews>
  <sheetFormatPr defaultColWidth="9.140625" defaultRowHeight="15"/>
  <cols>
    <col min="1" max="1" width="102.710937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27</v>
      </c>
      <c r="B2" s="18" t="s">
        <v>28</v>
      </c>
      <c r="C2" s="25"/>
      <c r="D2" s="15">
        <v>1</v>
      </c>
      <c r="E2" s="15">
        <v>1</v>
      </c>
      <c r="F2" s="17">
        <f>SUM(D2:E2)</f>
        <v>2</v>
      </c>
    </row>
    <row r="3" spans="1:6">
      <c r="A3" s="16" t="s">
        <v>29</v>
      </c>
      <c r="B3" s="18" t="s">
        <v>28</v>
      </c>
      <c r="C3" s="19"/>
      <c r="D3" s="15"/>
      <c r="E3" s="15"/>
      <c r="F3" s="17">
        <f t="shared" ref="F3:F4" si="0">SUM(D3:E3)</f>
        <v>0</v>
      </c>
    </row>
    <row r="4" spans="1:6">
      <c r="A4" s="16" t="s">
        <v>30</v>
      </c>
      <c r="B4" s="18" t="s">
        <v>28</v>
      </c>
      <c r="C4" s="19"/>
      <c r="D4" s="15">
        <v>1</v>
      </c>
      <c r="E4" s="15">
        <v>1</v>
      </c>
      <c r="F4" s="17">
        <f t="shared" si="0"/>
        <v>2</v>
      </c>
    </row>
    <row r="5" spans="1:6">
      <c r="C5" t="s">
        <v>7</v>
      </c>
      <c r="D5">
        <f>SUM(D2:D4)</f>
        <v>2</v>
      </c>
      <c r="E5">
        <f>SUM(E2:E4)</f>
        <v>2</v>
      </c>
      <c r="F5">
        <f>SUM(F2:F4)</f>
        <v>4</v>
      </c>
    </row>
  </sheetData>
  <mergeCells count="1">
    <mergeCell ref="A1:C1"/>
  </mergeCells>
  <hyperlinks>
    <hyperlink ref="B3" location="'ESC-CAL- DISPONIBILIDAD'!A1" display="ESC-CAL- DISPONIBILIDAD" xr:uid="{C684EB75-D23E-4304-8F35-BFBD0B8D599A}"/>
    <hyperlink ref="B4" location="'ESC-CAL- DISPONIBILIDAD'!A1" display="ESC-CAL- DISPONIBILIDAD" xr:uid="{0A26241A-5AC4-4342-99F1-ED67A36BC76F}"/>
    <hyperlink ref="B2" location="'ESC-CAL- DISPONIBILIDAD'!A1" display="ESC-CAL- DISPONIBILIDAD" xr:uid="{661E89B7-C0FE-4FA1-B15B-CFF33AA414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D382-6E7F-4415-B0A4-7375EDBEF089}">
  <dimension ref="A1:F6"/>
  <sheetViews>
    <sheetView workbookViewId="0">
      <selection activeCell="B2" sqref="B2"/>
    </sheetView>
  </sheetViews>
  <sheetFormatPr defaultColWidth="9.140625" defaultRowHeight="15"/>
  <cols>
    <col min="1" max="1" width="102.7109375" customWidth="1"/>
    <col min="2" max="2" width="22.2851562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31</v>
      </c>
      <c r="B2" s="18" t="s">
        <v>32</v>
      </c>
      <c r="C2" s="15"/>
      <c r="D2" s="15">
        <v>1</v>
      </c>
      <c r="E2" s="15">
        <v>1</v>
      </c>
      <c r="F2" s="17">
        <f>SUM(D2:E2)</f>
        <v>2</v>
      </c>
    </row>
    <row r="3" spans="1:6">
      <c r="A3" s="16" t="s">
        <v>33</v>
      </c>
      <c r="B3" s="18" t="s">
        <v>32</v>
      </c>
      <c r="C3" s="19"/>
      <c r="D3" s="15"/>
      <c r="E3" s="15">
        <v>1</v>
      </c>
      <c r="F3" s="17">
        <f t="shared" ref="F3:F5" si="0">SUM(D3:E3)</f>
        <v>1</v>
      </c>
    </row>
    <row r="4" spans="1:6">
      <c r="A4" s="15" t="s">
        <v>34</v>
      </c>
      <c r="B4" s="18" t="s">
        <v>32</v>
      </c>
      <c r="C4" s="15"/>
      <c r="D4" s="20">
        <v>1</v>
      </c>
      <c r="E4" s="20">
        <v>1</v>
      </c>
      <c r="F4" s="17">
        <f t="shared" si="0"/>
        <v>2</v>
      </c>
    </row>
    <row r="5" spans="1:6">
      <c r="A5" s="16" t="s">
        <v>35</v>
      </c>
      <c r="B5" s="18" t="s">
        <v>32</v>
      </c>
      <c r="C5" s="16"/>
      <c r="D5" s="16">
        <v>1</v>
      </c>
      <c r="E5" s="16">
        <v>1</v>
      </c>
      <c r="F5" s="17">
        <f t="shared" si="0"/>
        <v>2</v>
      </c>
    </row>
    <row r="6" spans="1:6">
      <c r="C6" t="s">
        <v>7</v>
      </c>
      <c r="D6">
        <f>SUM(D2:D5)</f>
        <v>3</v>
      </c>
      <c r="E6">
        <f>SUM(E2:E5)</f>
        <v>4</v>
      </c>
      <c r="F6" s="21">
        <f>SUM(F2:F5)</f>
        <v>7</v>
      </c>
    </row>
  </sheetData>
  <mergeCells count="1">
    <mergeCell ref="A1:C1"/>
  </mergeCells>
  <hyperlinks>
    <hyperlink ref="B2" location="'ESC-CAL- EXPERIENCIA DE USUARIO'!A1" display="ESC-CAL- EXPERIENCIA DE USUARIO" xr:uid="{DE760813-1E7C-493A-86EB-0B5458984E97}"/>
    <hyperlink ref="B3:B5" location="'ESC-CAL- EXPERIENCIA DE USUARIO'!A1" display="ESC-CAL- EXPERIENCIA DE USUARIO" xr:uid="{6F930C97-5767-49AA-A355-5FD6AC0A54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6BF4-0FB1-4003-A5E1-F5313D99691C}">
  <dimension ref="A1:F7"/>
  <sheetViews>
    <sheetView workbookViewId="0">
      <selection activeCell="C2" activeCellId="1" sqref="A6 C2"/>
    </sheetView>
  </sheetViews>
  <sheetFormatPr defaultColWidth="9.140625" defaultRowHeight="15"/>
  <cols>
    <col min="1" max="1" width="102.710937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36</v>
      </c>
      <c r="B2" s="18" t="s">
        <v>37</v>
      </c>
      <c r="C2" s="15"/>
      <c r="D2" s="16">
        <v>1</v>
      </c>
      <c r="E2" s="16"/>
      <c r="F2" s="16">
        <f>SUM(D2:E2)</f>
        <v>1</v>
      </c>
    </row>
    <row r="3" spans="1:6">
      <c r="A3" s="16" t="s">
        <v>38</v>
      </c>
      <c r="B3" s="18" t="s">
        <v>37</v>
      </c>
      <c r="C3" s="19"/>
      <c r="D3" s="16">
        <v>1</v>
      </c>
      <c r="E3" s="16"/>
      <c r="F3" s="16">
        <f t="shared" ref="F3:F6" si="0">SUM(D3:E3)</f>
        <v>1</v>
      </c>
    </row>
    <row r="4" spans="1:6">
      <c r="A4" s="16" t="s">
        <v>39</v>
      </c>
      <c r="B4" s="18" t="s">
        <v>37</v>
      </c>
      <c r="C4" s="15"/>
      <c r="D4" s="16"/>
      <c r="E4" s="16"/>
      <c r="F4" s="16">
        <f t="shared" si="0"/>
        <v>0</v>
      </c>
    </row>
    <row r="5" spans="1:6">
      <c r="A5" s="16" t="s">
        <v>40</v>
      </c>
      <c r="B5" s="18" t="s">
        <v>37</v>
      </c>
      <c r="C5" s="16"/>
      <c r="D5" s="16"/>
      <c r="E5" s="16"/>
      <c r="F5" s="16">
        <f t="shared" si="0"/>
        <v>0</v>
      </c>
    </row>
    <row r="6" spans="1:6">
      <c r="A6" s="16" t="s">
        <v>41</v>
      </c>
      <c r="B6" s="18" t="s">
        <v>37</v>
      </c>
      <c r="C6" s="16"/>
      <c r="D6" s="16">
        <v>1</v>
      </c>
      <c r="E6" s="16">
        <v>1</v>
      </c>
      <c r="F6" s="16">
        <f t="shared" si="0"/>
        <v>2</v>
      </c>
    </row>
    <row r="7" spans="1:6">
      <c r="C7" t="s">
        <v>7</v>
      </c>
      <c r="D7">
        <f>SUM(D2:D6)</f>
        <v>3</v>
      </c>
      <c r="E7">
        <f>SUM(E2:E6)</f>
        <v>1</v>
      </c>
      <c r="F7" s="22">
        <f>SUM(F2:F6)</f>
        <v>4</v>
      </c>
    </row>
  </sheetData>
  <mergeCells count="1">
    <mergeCell ref="A1:C1"/>
  </mergeCells>
  <hyperlinks>
    <hyperlink ref="B3" location="'ESC-CAL- SEGURIDAD'!A1" display="ESC-CAL- CONFORMIDAD" xr:uid="{B244E90E-2B36-453F-A77B-6C835F3D9A84}"/>
    <hyperlink ref="B4:B6" location="'ESC-CAL- SEGURIDAD'!A1" display="ESC-CAL- CONFORMIDAD" xr:uid="{FDBDD24F-6ECA-4FA6-AE90-731D3DD1068E}"/>
    <hyperlink ref="B2" location="'ESC-CAL- SEGURIDAD'!A1" display="ESC-CAL- CONFORMIDAD" xr:uid="{0522ECA9-8C28-459E-999E-EBF155CCED6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5E4-06D6-49A9-B301-FA3EBB85064F}">
  <dimension ref="A1:F6"/>
  <sheetViews>
    <sheetView workbookViewId="0">
      <selection activeCell="C2" activeCellId="1" sqref="A2:A5 C2"/>
    </sheetView>
  </sheetViews>
  <sheetFormatPr defaultColWidth="9.140625" defaultRowHeight="15"/>
  <cols>
    <col min="1" max="1" width="102.710937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42</v>
      </c>
      <c r="B2" s="18" t="s">
        <v>43</v>
      </c>
      <c r="C2" s="15"/>
      <c r="D2" s="16"/>
      <c r="E2" s="16">
        <v>1</v>
      </c>
      <c r="F2" s="16">
        <f>SUM(D2:E2)</f>
        <v>1</v>
      </c>
    </row>
    <row r="3" spans="1:6">
      <c r="A3" s="16" t="s">
        <v>44</v>
      </c>
      <c r="B3" s="18" t="s">
        <v>43</v>
      </c>
      <c r="C3" s="19"/>
      <c r="D3" s="16">
        <v>1</v>
      </c>
      <c r="E3" s="16"/>
      <c r="F3" s="16">
        <f t="shared" ref="F3:F5" si="0">SUM(D3:E3)</f>
        <v>1</v>
      </c>
    </row>
    <row r="4" spans="1:6">
      <c r="A4" s="16" t="s">
        <v>45</v>
      </c>
      <c r="B4" s="18" t="s">
        <v>43</v>
      </c>
      <c r="C4" s="15"/>
      <c r="D4" s="16"/>
      <c r="E4" s="16">
        <v>1</v>
      </c>
      <c r="F4" s="16">
        <f t="shared" si="0"/>
        <v>1</v>
      </c>
    </row>
    <row r="5" spans="1:6">
      <c r="A5" s="16" t="s">
        <v>46</v>
      </c>
      <c r="B5" s="18" t="s">
        <v>43</v>
      </c>
      <c r="C5" s="16"/>
      <c r="D5" s="16">
        <v>1</v>
      </c>
      <c r="E5" s="16">
        <v>1</v>
      </c>
      <c r="F5" s="16">
        <f t="shared" si="0"/>
        <v>2</v>
      </c>
    </row>
    <row r="6" spans="1:6">
      <c r="C6" t="s">
        <v>7</v>
      </c>
      <c r="D6">
        <f>SUM(D2:D5)</f>
        <v>2</v>
      </c>
      <c r="E6">
        <f>SUM(E2:E5)</f>
        <v>3</v>
      </c>
      <c r="F6">
        <f>SUM(F2:F5)</f>
        <v>5</v>
      </c>
    </row>
  </sheetData>
  <mergeCells count="1">
    <mergeCell ref="A1:C1"/>
  </mergeCells>
  <hyperlinks>
    <hyperlink ref="B3" location="'ESC-CAL- CONFIBIALIDAD'!A1" display="ESC-CAL- CONFORMIDAD" xr:uid="{0C552F2C-64B8-4559-B52F-0EF71B1FBCA3}"/>
    <hyperlink ref="B4:B5" location="'ESC-CAL- CONFIBIALIDAD'!A1" display="ESC-CAL- CONFORMIDAD" xr:uid="{71D98F1B-AB12-44C4-AD13-057FE134E53D}"/>
    <hyperlink ref="B2" location="'ESC-CAL- CONFIBIALIDAD'!A1" display="ESC-CAL- CONFORMIDAD" xr:uid="{72442252-F4FA-41AC-BDC2-D41E01FE560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9CC9-9A3B-466A-976E-1BECEE2F00F5}">
  <dimension ref="A1:F5"/>
  <sheetViews>
    <sheetView workbookViewId="0">
      <selection activeCell="C2" sqref="C2"/>
    </sheetView>
  </sheetViews>
  <sheetFormatPr defaultColWidth="9.140625" defaultRowHeight="15"/>
  <cols>
    <col min="1" max="1" width="102.710937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47</v>
      </c>
      <c r="B2" s="18" t="s">
        <v>48</v>
      </c>
      <c r="C2" s="15"/>
      <c r="D2" s="16"/>
      <c r="E2" s="16">
        <v>1</v>
      </c>
      <c r="F2" s="16">
        <f>SUM(D2:E2)</f>
        <v>1</v>
      </c>
    </row>
    <row r="3" spans="1:6">
      <c r="A3" s="16" t="s">
        <v>49</v>
      </c>
      <c r="B3" s="18" t="s">
        <v>48</v>
      </c>
      <c r="C3" s="19"/>
      <c r="D3" s="16"/>
      <c r="E3" s="16"/>
      <c r="F3" s="16">
        <f t="shared" ref="E3:F4" si="0">SUM(D3:E3)</f>
        <v>0</v>
      </c>
    </row>
    <row r="4" spans="1:6">
      <c r="A4" s="16" t="s">
        <v>50</v>
      </c>
      <c r="B4" s="18" t="s">
        <v>48</v>
      </c>
      <c r="C4" s="16"/>
      <c r="D4" s="16">
        <v>1</v>
      </c>
      <c r="E4" s="16">
        <f t="shared" si="0"/>
        <v>1</v>
      </c>
    </row>
    <row r="5" spans="1:6">
      <c r="C5" t="s">
        <v>7</v>
      </c>
      <c r="D5">
        <f>SUM(D2:D4)</f>
        <v>1</v>
      </c>
      <c r="E5">
        <f>SUM(E2:E4)</f>
        <v>2</v>
      </c>
      <c r="F5">
        <f>SUM(F2:F4)</f>
        <v>1</v>
      </c>
    </row>
  </sheetData>
  <mergeCells count="1">
    <mergeCell ref="A1:C1"/>
  </mergeCells>
  <hyperlinks>
    <hyperlink ref="B2" location="'ESC-CAL- RENDIMIENTO'!A1" display="ESC-CAL- RENDIMIENTO" xr:uid="{C3DFAF30-FBE3-4621-AE68-C076323ECFA6}"/>
    <hyperlink ref="B3:B4" location="'ESC-CAL- RENDIMIENTO'!A1" display="ESC-CAL- RENDIMIENTO" xr:uid="{50F1DBC4-FCAF-4EC0-88A3-1BB36456DBE1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3DD4-919D-4A12-B5F2-FFB39980BDDF}">
  <dimension ref="A1:F4"/>
  <sheetViews>
    <sheetView workbookViewId="0">
      <selection activeCell="A2" sqref="A2"/>
    </sheetView>
  </sheetViews>
  <sheetFormatPr defaultColWidth="9.140625" defaultRowHeight="15"/>
  <cols>
    <col min="1" max="1" width="102.7109375" customWidth="1"/>
    <col min="3" max="3" width="45.85546875" customWidth="1"/>
    <col min="4" max="4" width="15.5703125" customWidth="1"/>
    <col min="5" max="5" width="16.85546875" customWidth="1"/>
    <col min="6" max="6" width="22.5703125" customWidth="1"/>
  </cols>
  <sheetData>
    <row r="1" spans="1:6" ht="30.75" customHeight="1">
      <c r="A1" s="26" t="s">
        <v>25</v>
      </c>
      <c r="B1" s="26"/>
      <c r="C1" s="26"/>
      <c r="D1" s="14" t="s">
        <v>26</v>
      </c>
      <c r="E1" s="15" t="s">
        <v>5</v>
      </c>
      <c r="F1" s="15" t="s">
        <v>6</v>
      </c>
    </row>
    <row r="2" spans="1:6">
      <c r="A2" s="16" t="s">
        <v>51</v>
      </c>
      <c r="B2" s="18" t="s">
        <v>52</v>
      </c>
      <c r="C2" s="15"/>
      <c r="D2" s="16">
        <v>1</v>
      </c>
      <c r="E2" s="16"/>
      <c r="F2" s="16">
        <f>SUM(D2:E2)</f>
        <v>1</v>
      </c>
    </row>
    <row r="3" spans="1:6">
      <c r="A3" s="16" t="s">
        <v>53</v>
      </c>
      <c r="B3" s="18" t="s">
        <v>52</v>
      </c>
      <c r="C3" s="19"/>
      <c r="D3" s="16">
        <v>1</v>
      </c>
      <c r="E3" s="16"/>
      <c r="F3" s="16">
        <f>SUM(D3:E3)</f>
        <v>1</v>
      </c>
    </row>
    <row r="4" spans="1:6">
      <c r="A4" s="15"/>
      <c r="B4" s="18"/>
      <c r="C4" s="15" t="s">
        <v>7</v>
      </c>
      <c r="D4" s="16">
        <f t="shared" ref="D4:E4" si="0">SUM(D2:D3)</f>
        <v>2</v>
      </c>
      <c r="E4" s="16">
        <f t="shared" si="0"/>
        <v>0</v>
      </c>
      <c r="F4" s="16">
        <f>SUM(F2:F3)</f>
        <v>2</v>
      </c>
    </row>
  </sheetData>
  <mergeCells count="1">
    <mergeCell ref="A1:C1"/>
  </mergeCells>
  <hyperlinks>
    <hyperlink ref="B2" location="'ESC-CAL- ESCALABILIDAD'!A1" display="ESC-CAL- RENDIMIENTO" xr:uid="{823A478B-370E-41F5-97AB-2F39F6642A2A}"/>
    <hyperlink ref="B3" location="'ESC-CAL- ESCALABILIDAD'!A1" display="ESC-CAL- RENDIMIENTO" xr:uid="{26F4A452-490B-49E5-B232-7B5AC2A723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41B2-C1FD-47E7-9289-9D8FB98A1731}">
  <dimension ref="A1:M25"/>
  <sheetViews>
    <sheetView workbookViewId="0">
      <selection activeCell="G6" sqref="G6:H7"/>
    </sheetView>
  </sheetViews>
  <sheetFormatPr defaultColWidth="9.140625" defaultRowHeight="15"/>
  <sheetData>
    <row r="1" spans="1:13">
      <c r="A1" s="59" t="s">
        <v>54</v>
      </c>
      <c r="B1" s="60"/>
      <c r="C1" s="61"/>
      <c r="D1" s="62" t="s">
        <v>55</v>
      </c>
      <c r="E1" s="62"/>
      <c r="F1" s="62"/>
      <c r="G1" s="62"/>
      <c r="H1" s="62"/>
      <c r="I1" s="62"/>
      <c r="J1" s="62"/>
      <c r="K1" s="62"/>
      <c r="L1" s="62"/>
      <c r="M1" s="63"/>
    </row>
    <row r="2" spans="1:13">
      <c r="A2" s="59" t="s">
        <v>56</v>
      </c>
      <c r="B2" s="60"/>
      <c r="C2" s="61"/>
      <c r="D2" s="62" t="s">
        <v>57</v>
      </c>
      <c r="E2" s="62"/>
      <c r="F2" s="62"/>
      <c r="G2" s="62"/>
      <c r="H2" s="62"/>
      <c r="I2" s="62"/>
      <c r="J2" s="62"/>
      <c r="K2" s="62"/>
      <c r="L2" s="62"/>
      <c r="M2" s="63"/>
    </row>
    <row r="3" spans="1:13">
      <c r="A3" s="59" t="s">
        <v>58</v>
      </c>
      <c r="B3" s="60"/>
      <c r="C3" s="61"/>
      <c r="D3" s="62" t="s">
        <v>59</v>
      </c>
      <c r="E3" s="62"/>
      <c r="F3" s="62"/>
      <c r="G3" s="62"/>
      <c r="H3" s="62"/>
      <c r="I3" s="62"/>
      <c r="J3" s="62"/>
      <c r="K3" s="62"/>
      <c r="L3" s="62"/>
      <c r="M3" s="63"/>
    </row>
    <row r="4" spans="1:13">
      <c r="A4" s="59" t="s">
        <v>60</v>
      </c>
      <c r="B4" s="60"/>
      <c r="C4" s="61"/>
      <c r="D4" s="31" t="s">
        <v>61</v>
      </c>
      <c r="E4" s="32"/>
      <c r="F4" s="32"/>
      <c r="G4" s="32"/>
      <c r="H4" s="32"/>
      <c r="I4" s="32"/>
      <c r="J4" s="32"/>
      <c r="K4" s="32"/>
      <c r="L4" s="32"/>
      <c r="M4" s="33"/>
    </row>
    <row r="5" spans="1:13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13">
      <c r="A6" s="67" t="s">
        <v>5</v>
      </c>
      <c r="B6" s="68"/>
      <c r="C6" s="27" t="s">
        <v>69</v>
      </c>
      <c r="D6" s="28"/>
      <c r="E6" s="67" t="s">
        <v>59</v>
      </c>
      <c r="F6" s="68"/>
      <c r="G6" s="67" t="s">
        <v>70</v>
      </c>
      <c r="H6" s="68"/>
      <c r="I6" s="27" t="s">
        <v>71</v>
      </c>
      <c r="J6" s="28"/>
      <c r="K6" s="27" t="s">
        <v>72</v>
      </c>
      <c r="L6" s="28"/>
      <c r="M6" s="69" t="s">
        <v>73</v>
      </c>
    </row>
    <row r="7" spans="1:13" ht="50.25" customHeight="1">
      <c r="A7" s="70"/>
      <c r="B7" s="71"/>
      <c r="C7" s="29"/>
      <c r="D7" s="30"/>
      <c r="E7" s="70"/>
      <c r="F7" s="71"/>
      <c r="G7" s="70"/>
      <c r="H7" s="71"/>
      <c r="I7" s="29"/>
      <c r="J7" s="30"/>
      <c r="K7" s="29"/>
      <c r="L7" s="30"/>
      <c r="M7" s="72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9" t="s">
        <v>54</v>
      </c>
      <c r="B10" s="60"/>
      <c r="C10" s="61"/>
      <c r="D10" s="62" t="s">
        <v>74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13">
      <c r="A11" s="59" t="s">
        <v>56</v>
      </c>
      <c r="B11" s="60"/>
      <c r="C11" s="61"/>
      <c r="D11" s="62" t="s">
        <v>29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13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13">
      <c r="A13" s="59" t="s">
        <v>60</v>
      </c>
      <c r="B13" s="60"/>
      <c r="C13" s="61"/>
      <c r="D13" s="31" t="s">
        <v>76</v>
      </c>
      <c r="E13" s="32"/>
      <c r="F13" s="32"/>
      <c r="G13" s="32"/>
      <c r="H13" s="32"/>
      <c r="I13" s="32"/>
      <c r="J13" s="32"/>
      <c r="K13" s="32"/>
      <c r="L13" s="32"/>
      <c r="M13" s="33"/>
    </row>
    <row r="14" spans="1:13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13">
      <c r="A15" s="67" t="s">
        <v>77</v>
      </c>
      <c r="B15" s="68"/>
      <c r="C15" s="27" t="s">
        <v>78</v>
      </c>
      <c r="D15" s="28"/>
      <c r="E15" s="67" t="s">
        <v>79</v>
      </c>
      <c r="F15" s="68"/>
      <c r="G15" s="27" t="s">
        <v>70</v>
      </c>
      <c r="H15" s="28"/>
      <c r="I15" s="27" t="s">
        <v>80</v>
      </c>
      <c r="J15" s="28"/>
      <c r="K15" s="27" t="s">
        <v>81</v>
      </c>
      <c r="L15" s="28"/>
      <c r="M15" s="69" t="s">
        <v>73</v>
      </c>
    </row>
    <row r="16" spans="1:13" ht="74.25" customHeight="1">
      <c r="A16" s="70"/>
      <c r="B16" s="71"/>
      <c r="C16" s="29"/>
      <c r="D16" s="30"/>
      <c r="E16" s="70"/>
      <c r="F16" s="71"/>
      <c r="G16" s="29"/>
      <c r="H16" s="30"/>
      <c r="I16" s="29"/>
      <c r="J16" s="30"/>
      <c r="K16" s="29"/>
      <c r="L16" s="30"/>
      <c r="M16" s="72"/>
    </row>
    <row r="19" spans="1:13">
      <c r="A19" s="59" t="s">
        <v>54</v>
      </c>
      <c r="B19" s="60"/>
      <c r="C19" s="61"/>
      <c r="D19" s="62" t="s">
        <v>82</v>
      </c>
      <c r="E19" s="62"/>
      <c r="F19" s="62"/>
      <c r="G19" s="62"/>
      <c r="H19" s="62"/>
      <c r="I19" s="62"/>
      <c r="J19" s="62"/>
      <c r="K19" s="62"/>
      <c r="L19" s="62"/>
      <c r="M19" s="63"/>
    </row>
    <row r="20" spans="1:13">
      <c r="A20" s="59" t="s">
        <v>56</v>
      </c>
      <c r="B20" s="60"/>
      <c r="C20" s="61"/>
      <c r="D20" s="62" t="s">
        <v>30</v>
      </c>
      <c r="E20" s="62"/>
      <c r="F20" s="62"/>
      <c r="G20" s="62"/>
      <c r="H20" s="62"/>
      <c r="I20" s="62"/>
      <c r="J20" s="62"/>
      <c r="K20" s="62"/>
      <c r="L20" s="62"/>
      <c r="M20" s="63"/>
    </row>
    <row r="21" spans="1:13">
      <c r="A21" s="59" t="s">
        <v>58</v>
      </c>
      <c r="B21" s="60"/>
      <c r="C21" s="61"/>
      <c r="D21" s="62" t="s">
        <v>75</v>
      </c>
      <c r="E21" s="62"/>
      <c r="F21" s="62"/>
      <c r="G21" s="62"/>
      <c r="H21" s="62"/>
      <c r="I21" s="62"/>
      <c r="J21" s="62"/>
      <c r="K21" s="62"/>
      <c r="L21" s="62"/>
      <c r="M21" s="63"/>
    </row>
    <row r="22" spans="1:13">
      <c r="A22" s="59" t="s">
        <v>60</v>
      </c>
      <c r="B22" s="60"/>
      <c r="C22" s="61"/>
      <c r="D22" s="31" t="s">
        <v>83</v>
      </c>
      <c r="E22" s="32"/>
      <c r="F22" s="32"/>
      <c r="G22" s="32"/>
      <c r="H22" s="32"/>
      <c r="I22" s="32"/>
      <c r="J22" s="32"/>
      <c r="K22" s="32"/>
      <c r="L22" s="32"/>
      <c r="M22" s="33"/>
    </row>
    <row r="23" spans="1:13">
      <c r="A23" s="64" t="s">
        <v>62</v>
      </c>
      <c r="B23" s="65"/>
      <c r="C23" s="66" t="s">
        <v>63</v>
      </c>
      <c r="D23" s="65"/>
      <c r="E23" s="66" t="s">
        <v>64</v>
      </c>
      <c r="F23" s="65"/>
      <c r="G23" s="66" t="s">
        <v>65</v>
      </c>
      <c r="H23" s="65"/>
      <c r="I23" s="66" t="s">
        <v>66</v>
      </c>
      <c r="J23" s="65"/>
      <c r="K23" s="66" t="s">
        <v>67</v>
      </c>
      <c r="L23" s="65"/>
      <c r="M23" s="6" t="s">
        <v>68</v>
      </c>
    </row>
    <row r="24" spans="1:13">
      <c r="A24" s="67" t="s">
        <v>84</v>
      </c>
      <c r="B24" s="68"/>
      <c r="C24" s="27" t="s">
        <v>85</v>
      </c>
      <c r="D24" s="28"/>
      <c r="E24" s="67" t="s">
        <v>79</v>
      </c>
      <c r="F24" s="68"/>
      <c r="G24" s="27" t="s">
        <v>86</v>
      </c>
      <c r="H24" s="28"/>
      <c r="I24" s="27" t="s">
        <v>87</v>
      </c>
      <c r="J24" s="28"/>
      <c r="K24" s="27" t="s">
        <v>88</v>
      </c>
      <c r="L24" s="28"/>
      <c r="M24" s="69" t="s">
        <v>73</v>
      </c>
    </row>
    <row r="25" spans="1:13" ht="60" customHeight="1">
      <c r="A25" s="70"/>
      <c r="B25" s="71"/>
      <c r="C25" s="29"/>
      <c r="D25" s="30"/>
      <c r="E25" s="70"/>
      <c r="F25" s="71"/>
      <c r="G25" s="29"/>
      <c r="H25" s="30"/>
      <c r="I25" s="29"/>
      <c r="J25" s="30"/>
      <c r="K25" s="29"/>
      <c r="L25" s="30"/>
      <c r="M25" s="72"/>
    </row>
  </sheetData>
  <mergeCells count="63">
    <mergeCell ref="A1:C1"/>
    <mergeCell ref="D1:M1"/>
    <mergeCell ref="A2:C2"/>
    <mergeCell ref="D2:M2"/>
    <mergeCell ref="A3:C3"/>
    <mergeCell ref="D3:M3"/>
    <mergeCell ref="A4:C4"/>
    <mergeCell ref="D4:M4"/>
    <mergeCell ref="A5:B5"/>
    <mergeCell ref="C5:D5"/>
    <mergeCell ref="E5:F5"/>
    <mergeCell ref="G5:H5"/>
    <mergeCell ref="I5:J5"/>
    <mergeCell ref="K5:L5"/>
    <mergeCell ref="A12:C12"/>
    <mergeCell ref="D12:M12"/>
    <mergeCell ref="A6:B7"/>
    <mergeCell ref="C6:D7"/>
    <mergeCell ref="E6:F7"/>
    <mergeCell ref="G6:H7"/>
    <mergeCell ref="I6:J7"/>
    <mergeCell ref="K6:L7"/>
    <mergeCell ref="M6:M7"/>
    <mergeCell ref="A10:C10"/>
    <mergeCell ref="D10:M10"/>
    <mergeCell ref="A11:C11"/>
    <mergeCell ref="D11:M11"/>
    <mergeCell ref="A13:C13"/>
    <mergeCell ref="D13:M13"/>
    <mergeCell ref="A14:B14"/>
    <mergeCell ref="C14:D14"/>
    <mergeCell ref="E14:F14"/>
    <mergeCell ref="G14:H14"/>
    <mergeCell ref="I14:J14"/>
    <mergeCell ref="K14:L14"/>
    <mergeCell ref="A21:C21"/>
    <mergeCell ref="D21:M21"/>
    <mergeCell ref="A15:B16"/>
    <mergeCell ref="C15:D16"/>
    <mergeCell ref="E15:F16"/>
    <mergeCell ref="G15:H16"/>
    <mergeCell ref="I15:J16"/>
    <mergeCell ref="K15:L16"/>
    <mergeCell ref="M15:M16"/>
    <mergeCell ref="A19:C19"/>
    <mergeCell ref="D19:M19"/>
    <mergeCell ref="A20:C20"/>
    <mergeCell ref="D20:M20"/>
    <mergeCell ref="A22:C22"/>
    <mergeCell ref="D22:M22"/>
    <mergeCell ref="A23:B23"/>
    <mergeCell ref="C23:D23"/>
    <mergeCell ref="E23:F23"/>
    <mergeCell ref="G23:H23"/>
    <mergeCell ref="I23:J23"/>
    <mergeCell ref="K23:L23"/>
    <mergeCell ref="M24:M25"/>
    <mergeCell ref="A24:B25"/>
    <mergeCell ref="C24:D25"/>
    <mergeCell ref="E24:F25"/>
    <mergeCell ref="G24:H25"/>
    <mergeCell ref="I24:J25"/>
    <mergeCell ref="K24:L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F071-ED08-4175-9AC0-BE06FC7ABE80}">
  <dimension ref="A1:U34"/>
  <sheetViews>
    <sheetView workbookViewId="0">
      <selection activeCell="A6" sqref="A6:M12"/>
    </sheetView>
  </sheetViews>
  <sheetFormatPr defaultColWidth="9.140625" defaultRowHeight="15"/>
  <sheetData>
    <row r="1" spans="1:21">
      <c r="A1" s="59" t="s">
        <v>54</v>
      </c>
      <c r="B1" s="60"/>
      <c r="C1" s="61"/>
      <c r="D1" s="62" t="s">
        <v>89</v>
      </c>
      <c r="E1" s="62"/>
      <c r="F1" s="62"/>
      <c r="G1" s="62"/>
      <c r="H1" s="62"/>
      <c r="I1" s="62"/>
      <c r="J1" s="62"/>
      <c r="K1" s="62"/>
      <c r="L1" s="62"/>
      <c r="M1" s="63"/>
    </row>
    <row r="2" spans="1:21">
      <c r="A2" s="59" t="s">
        <v>56</v>
      </c>
      <c r="B2" s="60"/>
      <c r="C2" s="61"/>
      <c r="D2" s="62" t="s">
        <v>31</v>
      </c>
      <c r="E2" s="62"/>
      <c r="F2" s="62"/>
      <c r="G2" s="62"/>
      <c r="H2" s="62"/>
      <c r="I2" s="62"/>
      <c r="J2" s="62"/>
      <c r="K2" s="62"/>
      <c r="L2" s="62"/>
      <c r="M2" s="63"/>
    </row>
    <row r="3" spans="1:21">
      <c r="A3" s="59" t="s">
        <v>58</v>
      </c>
      <c r="B3" s="60"/>
      <c r="C3" s="61"/>
      <c r="D3" s="62" t="s">
        <v>75</v>
      </c>
      <c r="E3" s="62"/>
      <c r="F3" s="62"/>
      <c r="G3" s="62"/>
      <c r="H3" s="62"/>
      <c r="I3" s="62"/>
      <c r="J3" s="62"/>
      <c r="K3" s="62"/>
      <c r="L3" s="62"/>
      <c r="M3" s="63"/>
    </row>
    <row r="4" spans="1:21">
      <c r="A4" s="59" t="s">
        <v>60</v>
      </c>
      <c r="B4" s="60"/>
      <c r="C4" s="61"/>
      <c r="D4" s="34" t="s">
        <v>90</v>
      </c>
      <c r="E4" s="35"/>
      <c r="F4" s="35"/>
      <c r="G4" s="35"/>
      <c r="H4" s="35"/>
      <c r="I4" s="35"/>
      <c r="J4" s="35"/>
      <c r="K4" s="35"/>
      <c r="L4" s="35"/>
      <c r="M4" s="36"/>
    </row>
    <row r="5" spans="1:21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21" ht="21.75" customHeight="1">
      <c r="A6" s="41" t="s">
        <v>5</v>
      </c>
      <c r="B6" s="42"/>
      <c r="C6" s="41" t="s">
        <v>69</v>
      </c>
      <c r="D6" s="42"/>
      <c r="E6" s="41" t="s">
        <v>59</v>
      </c>
      <c r="F6" s="42"/>
      <c r="G6" s="41" t="s">
        <v>70</v>
      </c>
      <c r="H6" s="42"/>
      <c r="I6" s="41" t="s">
        <v>91</v>
      </c>
      <c r="J6" s="42"/>
      <c r="K6" s="41" t="s">
        <v>92</v>
      </c>
      <c r="L6" s="42"/>
      <c r="M6" s="45" t="s">
        <v>73</v>
      </c>
      <c r="O6" s="23"/>
      <c r="P6" s="23"/>
      <c r="Q6" s="23"/>
      <c r="R6" s="23"/>
      <c r="S6" s="23"/>
      <c r="T6" s="23"/>
      <c r="U6" s="23"/>
    </row>
    <row r="7" spans="1:21" ht="50.25" customHeight="1">
      <c r="A7" s="43"/>
      <c r="B7" s="44"/>
      <c r="C7" s="43"/>
      <c r="D7" s="44"/>
      <c r="E7" s="43"/>
      <c r="F7" s="44"/>
      <c r="G7" s="43"/>
      <c r="H7" s="44"/>
      <c r="I7" s="43"/>
      <c r="J7" s="44"/>
      <c r="K7" s="43"/>
      <c r="L7" s="44"/>
      <c r="M7" s="46"/>
      <c r="O7" s="24"/>
      <c r="Q7" s="24"/>
      <c r="R7" s="24"/>
      <c r="S7" s="24"/>
      <c r="T7" s="24"/>
      <c r="U7" s="24"/>
    </row>
    <row r="8" spans="1:2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P8" s="24"/>
    </row>
    <row r="9" spans="1:2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21">
      <c r="A10" s="59" t="s">
        <v>54</v>
      </c>
      <c r="B10" s="60"/>
      <c r="C10" s="61"/>
      <c r="D10" s="62" t="s">
        <v>93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21">
      <c r="A11" s="59" t="s">
        <v>56</v>
      </c>
      <c r="B11" s="60"/>
      <c r="C11" s="61"/>
      <c r="D11" s="62" t="s">
        <v>94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21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21" ht="35.25" customHeight="1">
      <c r="A13" s="59" t="s">
        <v>60</v>
      </c>
      <c r="B13" s="60"/>
      <c r="C13" s="61"/>
      <c r="D13" s="34" t="s">
        <v>95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21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21">
      <c r="A15" s="37" t="s">
        <v>96</v>
      </c>
      <c r="B15" s="38"/>
      <c r="C15" s="37" t="s">
        <v>97</v>
      </c>
      <c r="D15" s="38"/>
      <c r="E15" s="37" t="s">
        <v>79</v>
      </c>
      <c r="F15" s="38"/>
      <c r="G15" s="37" t="s">
        <v>70</v>
      </c>
      <c r="H15" s="38"/>
      <c r="I15" s="37" t="s">
        <v>98</v>
      </c>
      <c r="J15" s="38"/>
      <c r="K15" s="37" t="s">
        <v>99</v>
      </c>
      <c r="L15" s="38"/>
      <c r="M15" s="69" t="s">
        <v>73</v>
      </c>
    </row>
    <row r="16" spans="1:21" ht="74.25" customHeight="1">
      <c r="A16" s="39"/>
      <c r="B16" s="40"/>
      <c r="C16" s="39"/>
      <c r="D16" s="40"/>
      <c r="E16" s="39"/>
      <c r="F16" s="40"/>
      <c r="G16" s="39"/>
      <c r="H16" s="40"/>
      <c r="I16" s="39"/>
      <c r="J16" s="40"/>
      <c r="K16" s="39"/>
      <c r="L16" s="40"/>
      <c r="M16" s="72"/>
    </row>
    <row r="19" spans="1:13">
      <c r="A19" s="59" t="s">
        <v>54</v>
      </c>
      <c r="B19" s="60"/>
      <c r="C19" s="61"/>
      <c r="D19" s="62" t="s">
        <v>100</v>
      </c>
      <c r="E19" s="62"/>
      <c r="F19" s="62"/>
      <c r="G19" s="62"/>
      <c r="H19" s="62"/>
      <c r="I19" s="62"/>
      <c r="J19" s="62"/>
      <c r="K19" s="62"/>
      <c r="L19" s="62"/>
      <c r="M19" s="63"/>
    </row>
    <row r="20" spans="1:13">
      <c r="A20" s="59" t="s">
        <v>56</v>
      </c>
      <c r="B20" s="60"/>
      <c r="C20" s="61"/>
      <c r="D20" s="62" t="s">
        <v>101</v>
      </c>
      <c r="E20" s="62"/>
      <c r="F20" s="62"/>
      <c r="G20" s="62"/>
      <c r="H20" s="62"/>
      <c r="I20" s="62"/>
      <c r="J20" s="62"/>
      <c r="K20" s="62"/>
      <c r="L20" s="62"/>
      <c r="M20" s="63"/>
    </row>
    <row r="21" spans="1:13">
      <c r="A21" s="59" t="s">
        <v>58</v>
      </c>
      <c r="B21" s="60"/>
      <c r="C21" s="61"/>
      <c r="D21" s="62" t="s">
        <v>75</v>
      </c>
      <c r="E21" s="62"/>
      <c r="F21" s="62"/>
      <c r="G21" s="62"/>
      <c r="H21" s="62"/>
      <c r="I21" s="62"/>
      <c r="J21" s="62"/>
      <c r="K21" s="62"/>
      <c r="L21" s="62"/>
      <c r="M21" s="63"/>
    </row>
    <row r="22" spans="1:13" ht="38.25" customHeight="1">
      <c r="A22" s="59" t="s">
        <v>60</v>
      </c>
      <c r="B22" s="60"/>
      <c r="C22" s="61"/>
      <c r="D22" s="34" t="s">
        <v>102</v>
      </c>
      <c r="E22" s="35"/>
      <c r="F22" s="35"/>
      <c r="G22" s="35"/>
      <c r="H22" s="35"/>
      <c r="I22" s="35"/>
      <c r="J22" s="35"/>
      <c r="K22" s="35"/>
      <c r="L22" s="35"/>
      <c r="M22" s="36"/>
    </row>
    <row r="23" spans="1:13">
      <c r="A23" s="64" t="s">
        <v>62</v>
      </c>
      <c r="B23" s="65"/>
      <c r="C23" s="66" t="s">
        <v>63</v>
      </c>
      <c r="D23" s="65"/>
      <c r="E23" s="66" t="s">
        <v>64</v>
      </c>
      <c r="F23" s="65"/>
      <c r="G23" s="66" t="s">
        <v>65</v>
      </c>
      <c r="H23" s="65"/>
      <c r="I23" s="66" t="s">
        <v>66</v>
      </c>
      <c r="J23" s="65"/>
      <c r="K23" s="66" t="s">
        <v>67</v>
      </c>
      <c r="L23" s="65"/>
      <c r="M23" s="6" t="s">
        <v>68</v>
      </c>
    </row>
    <row r="24" spans="1:13">
      <c r="A24" s="67" t="s">
        <v>5</v>
      </c>
      <c r="B24" s="68"/>
      <c r="C24" s="27" t="s">
        <v>103</v>
      </c>
      <c r="D24" s="28"/>
      <c r="E24" s="67" t="s">
        <v>79</v>
      </c>
      <c r="F24" s="68"/>
      <c r="G24" s="27" t="s">
        <v>70</v>
      </c>
      <c r="H24" s="28"/>
      <c r="I24" s="27" t="s">
        <v>104</v>
      </c>
      <c r="J24" s="28"/>
      <c r="K24" s="27" t="s">
        <v>105</v>
      </c>
      <c r="L24" s="28"/>
      <c r="M24" s="69" t="s">
        <v>73</v>
      </c>
    </row>
    <row r="25" spans="1:13" ht="60" customHeight="1">
      <c r="A25" s="70"/>
      <c r="B25" s="71"/>
      <c r="C25" s="29"/>
      <c r="D25" s="30"/>
      <c r="E25" s="70"/>
      <c r="F25" s="71"/>
      <c r="G25" s="29"/>
      <c r="H25" s="30"/>
      <c r="I25" s="29"/>
      <c r="J25" s="30"/>
      <c r="K25" s="29"/>
      <c r="L25" s="30"/>
      <c r="M25" s="72"/>
    </row>
    <row r="28" spans="1:13">
      <c r="A28" s="59" t="s">
        <v>54</v>
      </c>
      <c r="B28" s="60"/>
      <c r="C28" s="61"/>
      <c r="D28" s="62" t="s">
        <v>106</v>
      </c>
      <c r="E28" s="62"/>
      <c r="F28" s="62"/>
      <c r="G28" s="62"/>
      <c r="H28" s="62"/>
      <c r="I28" s="62"/>
      <c r="J28" s="62"/>
      <c r="K28" s="62"/>
      <c r="L28" s="62"/>
      <c r="M28" s="63"/>
    </row>
    <row r="29" spans="1:13">
      <c r="A29" s="59" t="s">
        <v>56</v>
      </c>
      <c r="B29" s="60"/>
      <c r="C29" s="61"/>
      <c r="D29" s="62" t="s">
        <v>35</v>
      </c>
      <c r="E29" s="62"/>
      <c r="F29" s="62"/>
      <c r="G29" s="62"/>
      <c r="H29" s="62"/>
      <c r="I29" s="62"/>
      <c r="J29" s="62"/>
      <c r="K29" s="62"/>
      <c r="L29" s="62"/>
      <c r="M29" s="63"/>
    </row>
    <row r="30" spans="1:13">
      <c r="A30" s="59" t="s">
        <v>58</v>
      </c>
      <c r="B30" s="60"/>
      <c r="C30" s="61"/>
      <c r="D30" s="62" t="s">
        <v>75</v>
      </c>
      <c r="E30" s="62"/>
      <c r="F30" s="62"/>
      <c r="G30" s="62"/>
      <c r="H30" s="62"/>
      <c r="I30" s="62"/>
      <c r="J30" s="62"/>
      <c r="K30" s="62"/>
      <c r="L30" s="62"/>
      <c r="M30" s="63"/>
    </row>
    <row r="31" spans="1:13" ht="33.75" customHeight="1">
      <c r="A31" s="59" t="s">
        <v>60</v>
      </c>
      <c r="B31" s="60"/>
      <c r="C31" s="61"/>
      <c r="D31" s="34" t="s">
        <v>107</v>
      </c>
      <c r="E31" s="35"/>
      <c r="F31" s="35"/>
      <c r="G31" s="35"/>
      <c r="H31" s="35"/>
      <c r="I31" s="35"/>
      <c r="J31" s="35"/>
      <c r="K31" s="35"/>
      <c r="L31" s="35"/>
      <c r="M31" s="36"/>
    </row>
    <row r="32" spans="1:13">
      <c r="A32" s="64" t="s">
        <v>62</v>
      </c>
      <c r="B32" s="65"/>
      <c r="C32" s="66" t="s">
        <v>63</v>
      </c>
      <c r="D32" s="65"/>
      <c r="E32" s="66" t="s">
        <v>64</v>
      </c>
      <c r="F32" s="65"/>
      <c r="G32" s="66" t="s">
        <v>65</v>
      </c>
      <c r="H32" s="65"/>
      <c r="I32" s="66" t="s">
        <v>66</v>
      </c>
      <c r="J32" s="65"/>
      <c r="K32" s="66" t="s">
        <v>67</v>
      </c>
      <c r="L32" s="65"/>
      <c r="M32" s="6" t="s">
        <v>68</v>
      </c>
    </row>
    <row r="33" spans="1:13">
      <c r="A33" s="49" t="s">
        <v>5</v>
      </c>
      <c r="B33" s="50"/>
      <c r="C33" s="37" t="s">
        <v>108</v>
      </c>
      <c r="D33" s="38"/>
      <c r="E33" s="49" t="s">
        <v>79</v>
      </c>
      <c r="F33" s="50"/>
      <c r="G33" s="37" t="s">
        <v>109</v>
      </c>
      <c r="H33" s="38"/>
      <c r="I33" s="37" t="s">
        <v>104</v>
      </c>
      <c r="J33" s="38"/>
      <c r="K33" s="37" t="s">
        <v>110</v>
      </c>
      <c r="L33" s="38"/>
      <c r="M33" s="47" t="s">
        <v>73</v>
      </c>
    </row>
    <row r="34" spans="1:13" ht="68.25" customHeight="1">
      <c r="A34" s="51"/>
      <c r="B34" s="52"/>
      <c r="C34" s="39"/>
      <c r="D34" s="40"/>
      <c r="E34" s="51"/>
      <c r="F34" s="52"/>
      <c r="G34" s="39"/>
      <c r="H34" s="40"/>
      <c r="I34" s="39"/>
      <c r="J34" s="40"/>
      <c r="K34" s="39"/>
      <c r="L34" s="40"/>
      <c r="M34" s="48"/>
    </row>
  </sheetData>
  <mergeCells count="84">
    <mergeCell ref="K33:L34"/>
    <mergeCell ref="M33:M34"/>
    <mergeCell ref="A33:B34"/>
    <mergeCell ref="C33:D34"/>
    <mergeCell ref="E33:F34"/>
    <mergeCell ref="G33:H34"/>
    <mergeCell ref="I33:J34"/>
    <mergeCell ref="A31:C31"/>
    <mergeCell ref="D31:M31"/>
    <mergeCell ref="A32:B32"/>
    <mergeCell ref="C32:D32"/>
    <mergeCell ref="E32:F32"/>
    <mergeCell ref="G32:H32"/>
    <mergeCell ref="I32:J32"/>
    <mergeCell ref="K32:L32"/>
    <mergeCell ref="A28:C28"/>
    <mergeCell ref="D28:M28"/>
    <mergeCell ref="A29:C29"/>
    <mergeCell ref="D29:M29"/>
    <mergeCell ref="A30:C30"/>
    <mergeCell ref="D30:M30"/>
    <mergeCell ref="A1:C1"/>
    <mergeCell ref="D1:M1"/>
    <mergeCell ref="A2:C2"/>
    <mergeCell ref="D2:M2"/>
    <mergeCell ref="A3:C3"/>
    <mergeCell ref="D3:M3"/>
    <mergeCell ref="A4:C4"/>
    <mergeCell ref="A5:B5"/>
    <mergeCell ref="C5:D5"/>
    <mergeCell ref="E5:F5"/>
    <mergeCell ref="G5:H5"/>
    <mergeCell ref="D4:M4"/>
    <mergeCell ref="A12:C12"/>
    <mergeCell ref="D12:M12"/>
    <mergeCell ref="K5:L5"/>
    <mergeCell ref="A6:B7"/>
    <mergeCell ref="C6:D7"/>
    <mergeCell ref="E6:F7"/>
    <mergeCell ref="G6:H7"/>
    <mergeCell ref="I6:J7"/>
    <mergeCell ref="K6:L7"/>
    <mergeCell ref="I5:J5"/>
    <mergeCell ref="M6:M7"/>
    <mergeCell ref="A10:C10"/>
    <mergeCell ref="D10:M10"/>
    <mergeCell ref="A11:C11"/>
    <mergeCell ref="D11:M11"/>
    <mergeCell ref="A13:C13"/>
    <mergeCell ref="A14:B14"/>
    <mergeCell ref="C14:D14"/>
    <mergeCell ref="E14:F14"/>
    <mergeCell ref="G14:H14"/>
    <mergeCell ref="D13:M13"/>
    <mergeCell ref="M15:M16"/>
    <mergeCell ref="K14:L14"/>
    <mergeCell ref="A15:B16"/>
    <mergeCell ref="C15:D16"/>
    <mergeCell ref="E15:F16"/>
    <mergeCell ref="G15:H16"/>
    <mergeCell ref="I15:J16"/>
    <mergeCell ref="K15:L16"/>
    <mergeCell ref="I14:J14"/>
    <mergeCell ref="A19:C19"/>
    <mergeCell ref="D19:M19"/>
    <mergeCell ref="A20:C20"/>
    <mergeCell ref="D20:M20"/>
    <mergeCell ref="A21:C21"/>
    <mergeCell ref="D21:M21"/>
    <mergeCell ref="A22:C22"/>
    <mergeCell ref="D22:M22"/>
    <mergeCell ref="A23:B23"/>
    <mergeCell ref="C23:D23"/>
    <mergeCell ref="E23:F23"/>
    <mergeCell ref="G23:H23"/>
    <mergeCell ref="I23:J23"/>
    <mergeCell ref="K23:L23"/>
    <mergeCell ref="K24:L25"/>
    <mergeCell ref="M24:M25"/>
    <mergeCell ref="A24:B25"/>
    <mergeCell ref="C24:D25"/>
    <mergeCell ref="E24:F25"/>
    <mergeCell ref="G24:H25"/>
    <mergeCell ref="I24:J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2174-5B20-41BB-B710-CC6EF8C26599}">
  <dimension ref="A1:M42"/>
  <sheetViews>
    <sheetView topLeftCell="A33" workbookViewId="0">
      <selection activeCell="K41" sqref="K41:L42"/>
    </sheetView>
  </sheetViews>
  <sheetFormatPr defaultColWidth="9.140625" defaultRowHeight="15"/>
  <cols>
    <col min="13" max="13" width="23.42578125" customWidth="1"/>
  </cols>
  <sheetData>
    <row r="1" spans="1:13">
      <c r="A1" s="59" t="s">
        <v>54</v>
      </c>
      <c r="B1" s="60"/>
      <c r="C1" s="61"/>
      <c r="D1" s="62" t="s">
        <v>111</v>
      </c>
      <c r="E1" s="62"/>
      <c r="F1" s="62"/>
      <c r="G1" s="62"/>
      <c r="H1" s="62"/>
      <c r="I1" s="62"/>
      <c r="J1" s="62"/>
      <c r="K1" s="62"/>
      <c r="L1" s="62"/>
      <c r="M1" s="63"/>
    </row>
    <row r="2" spans="1:13">
      <c r="A2" s="59" t="s">
        <v>56</v>
      </c>
      <c r="B2" s="60"/>
      <c r="C2" s="61"/>
      <c r="D2" s="62" t="s">
        <v>112</v>
      </c>
      <c r="E2" s="62"/>
      <c r="F2" s="62"/>
      <c r="G2" s="62"/>
      <c r="H2" s="62"/>
      <c r="I2" s="62"/>
      <c r="J2" s="62"/>
      <c r="K2" s="62"/>
      <c r="L2" s="62"/>
      <c r="M2" s="63"/>
    </row>
    <row r="3" spans="1:13">
      <c r="A3" s="59" t="s">
        <v>58</v>
      </c>
      <c r="B3" s="60"/>
      <c r="C3" s="61"/>
      <c r="D3" s="62" t="s">
        <v>75</v>
      </c>
      <c r="E3" s="62"/>
      <c r="F3" s="62"/>
      <c r="G3" s="62"/>
      <c r="H3" s="62"/>
      <c r="I3" s="62"/>
      <c r="J3" s="62"/>
      <c r="K3" s="62"/>
      <c r="L3" s="62"/>
      <c r="M3" s="63"/>
    </row>
    <row r="4" spans="1:13" ht="33" customHeight="1">
      <c r="A4" s="59" t="s">
        <v>60</v>
      </c>
      <c r="B4" s="60"/>
      <c r="C4" s="61"/>
      <c r="D4" s="34" t="s">
        <v>113</v>
      </c>
      <c r="E4" s="35"/>
      <c r="F4" s="35"/>
      <c r="G4" s="35"/>
      <c r="H4" s="35"/>
      <c r="I4" s="35"/>
      <c r="J4" s="35"/>
      <c r="K4" s="35"/>
      <c r="L4" s="35"/>
      <c r="M4" s="36"/>
    </row>
    <row r="5" spans="1:13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13">
      <c r="A6" s="67" t="s">
        <v>84</v>
      </c>
      <c r="B6" s="68"/>
      <c r="C6" s="27" t="s">
        <v>114</v>
      </c>
      <c r="D6" s="28"/>
      <c r="E6" s="67" t="s">
        <v>115</v>
      </c>
      <c r="F6" s="68"/>
      <c r="G6" s="67" t="s">
        <v>70</v>
      </c>
      <c r="H6" s="68"/>
      <c r="I6" s="27" t="s">
        <v>116</v>
      </c>
      <c r="J6" s="28"/>
      <c r="K6" s="27" t="s">
        <v>117</v>
      </c>
      <c r="L6" s="28"/>
      <c r="M6" s="69" t="s">
        <v>73</v>
      </c>
    </row>
    <row r="7" spans="1:13" ht="50.25" customHeight="1">
      <c r="A7" s="70"/>
      <c r="B7" s="71"/>
      <c r="C7" s="29"/>
      <c r="D7" s="30"/>
      <c r="E7" s="70"/>
      <c r="F7" s="71"/>
      <c r="G7" s="70"/>
      <c r="H7" s="71"/>
      <c r="I7" s="29"/>
      <c r="J7" s="30"/>
      <c r="K7" s="29"/>
      <c r="L7" s="30"/>
      <c r="M7" s="72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9" t="s">
        <v>54</v>
      </c>
      <c r="B10" s="60"/>
      <c r="C10" s="61"/>
      <c r="D10" s="62" t="s">
        <v>118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13">
      <c r="A11" s="59" t="s">
        <v>56</v>
      </c>
      <c r="B11" s="60"/>
      <c r="C11" s="61"/>
      <c r="D11" s="62" t="s">
        <v>119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13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13" ht="24.75" customHeight="1">
      <c r="A13" s="59" t="s">
        <v>60</v>
      </c>
      <c r="B13" s="60"/>
      <c r="C13" s="61"/>
      <c r="D13" s="34" t="s">
        <v>120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13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13">
      <c r="A15" s="67" t="s">
        <v>77</v>
      </c>
      <c r="B15" s="68"/>
      <c r="C15" s="27" t="s">
        <v>121</v>
      </c>
      <c r="D15" s="28"/>
      <c r="E15" s="67" t="s">
        <v>79</v>
      </c>
      <c r="F15" s="68"/>
      <c r="G15" s="27" t="s">
        <v>122</v>
      </c>
      <c r="H15" s="28"/>
      <c r="I15" s="27" t="s">
        <v>123</v>
      </c>
      <c r="J15" s="28"/>
      <c r="K15" s="27" t="s">
        <v>124</v>
      </c>
      <c r="L15" s="28"/>
      <c r="M15" s="69" t="s">
        <v>73</v>
      </c>
    </row>
    <row r="16" spans="1:13" ht="74.25" customHeight="1">
      <c r="A16" s="70"/>
      <c r="B16" s="71"/>
      <c r="C16" s="29"/>
      <c r="D16" s="30"/>
      <c r="E16" s="70"/>
      <c r="F16" s="71"/>
      <c r="G16" s="29"/>
      <c r="H16" s="30"/>
      <c r="I16" s="29"/>
      <c r="J16" s="30"/>
      <c r="K16" s="29"/>
      <c r="L16" s="30"/>
      <c r="M16" s="72"/>
    </row>
    <row r="19" spans="1:13">
      <c r="A19" s="59" t="s">
        <v>54</v>
      </c>
      <c r="B19" s="60"/>
      <c r="C19" s="61"/>
      <c r="D19" s="62" t="s">
        <v>125</v>
      </c>
      <c r="E19" s="62"/>
      <c r="F19" s="62"/>
      <c r="G19" s="62"/>
      <c r="H19" s="62"/>
      <c r="I19" s="62"/>
      <c r="J19" s="62"/>
      <c r="K19" s="62"/>
      <c r="L19" s="62"/>
      <c r="M19" s="63"/>
    </row>
    <row r="20" spans="1:13">
      <c r="A20" s="59" t="s">
        <v>56</v>
      </c>
      <c r="B20" s="60"/>
      <c r="C20" s="61"/>
      <c r="D20" s="62" t="s">
        <v>126</v>
      </c>
      <c r="E20" s="62"/>
      <c r="F20" s="62"/>
      <c r="G20" s="62"/>
      <c r="H20" s="62"/>
      <c r="I20" s="62"/>
      <c r="J20" s="62"/>
      <c r="K20" s="62"/>
      <c r="L20" s="62"/>
      <c r="M20" s="63"/>
    </row>
    <row r="21" spans="1:13">
      <c r="A21" s="59" t="s">
        <v>58</v>
      </c>
      <c r="B21" s="60"/>
      <c r="C21" s="61"/>
      <c r="D21" s="62" t="s">
        <v>75</v>
      </c>
      <c r="E21" s="62"/>
      <c r="F21" s="62"/>
      <c r="G21" s="62"/>
      <c r="H21" s="62"/>
      <c r="I21" s="62"/>
      <c r="J21" s="62"/>
      <c r="K21" s="62"/>
      <c r="L21" s="62"/>
      <c r="M21" s="63"/>
    </row>
    <row r="22" spans="1:13">
      <c r="A22" s="59" t="s">
        <v>60</v>
      </c>
      <c r="B22" s="60"/>
      <c r="C22" s="61"/>
      <c r="D22" s="31" t="s">
        <v>127</v>
      </c>
      <c r="E22" s="32"/>
      <c r="F22" s="32"/>
      <c r="G22" s="32"/>
      <c r="H22" s="32"/>
      <c r="I22" s="32"/>
      <c r="J22" s="32"/>
      <c r="K22" s="32"/>
      <c r="L22" s="32"/>
      <c r="M22" s="33"/>
    </row>
    <row r="23" spans="1:13">
      <c r="A23" s="64" t="s">
        <v>62</v>
      </c>
      <c r="B23" s="65"/>
      <c r="C23" s="66" t="s">
        <v>63</v>
      </c>
      <c r="D23" s="65"/>
      <c r="E23" s="66" t="s">
        <v>64</v>
      </c>
      <c r="F23" s="65"/>
      <c r="G23" s="66" t="s">
        <v>65</v>
      </c>
      <c r="H23" s="65"/>
      <c r="I23" s="66" t="s">
        <v>66</v>
      </c>
      <c r="J23" s="65"/>
      <c r="K23" s="66" t="s">
        <v>67</v>
      </c>
      <c r="L23" s="65"/>
      <c r="M23" s="6" t="s">
        <v>68</v>
      </c>
    </row>
    <row r="24" spans="1:13">
      <c r="A24" s="67" t="s">
        <v>84</v>
      </c>
      <c r="B24" s="68"/>
      <c r="C24" s="27" t="s">
        <v>128</v>
      </c>
      <c r="D24" s="28"/>
      <c r="E24" s="67" t="s">
        <v>79</v>
      </c>
      <c r="F24" s="68"/>
      <c r="G24" s="27" t="s">
        <v>70</v>
      </c>
      <c r="H24" s="28"/>
      <c r="I24" s="27" t="s">
        <v>129</v>
      </c>
      <c r="J24" s="28"/>
      <c r="K24" s="27" t="s">
        <v>130</v>
      </c>
      <c r="L24" s="28"/>
      <c r="M24" s="69" t="s">
        <v>73</v>
      </c>
    </row>
    <row r="25" spans="1:13" ht="60" customHeight="1">
      <c r="A25" s="70"/>
      <c r="B25" s="71"/>
      <c r="C25" s="29"/>
      <c r="D25" s="30"/>
      <c r="E25" s="70"/>
      <c r="F25" s="71"/>
      <c r="G25" s="29"/>
      <c r="H25" s="30"/>
      <c r="I25" s="29"/>
      <c r="J25" s="30"/>
      <c r="K25" s="29"/>
      <c r="L25" s="30"/>
      <c r="M25" s="72"/>
    </row>
    <row r="28" spans="1:13">
      <c r="A28" s="59" t="s">
        <v>54</v>
      </c>
      <c r="B28" s="60"/>
      <c r="C28" s="61"/>
      <c r="D28" s="62" t="s">
        <v>131</v>
      </c>
      <c r="E28" s="62"/>
      <c r="F28" s="62"/>
      <c r="G28" s="62"/>
      <c r="H28" s="62"/>
      <c r="I28" s="62"/>
      <c r="J28" s="62"/>
      <c r="K28" s="62"/>
      <c r="L28" s="62"/>
      <c r="M28" s="63"/>
    </row>
    <row r="29" spans="1:13">
      <c r="A29" s="59" t="s">
        <v>56</v>
      </c>
      <c r="B29" s="60"/>
      <c r="C29" s="61"/>
      <c r="D29" s="62" t="s">
        <v>40</v>
      </c>
      <c r="E29" s="62"/>
      <c r="F29" s="62"/>
      <c r="G29" s="62"/>
      <c r="H29" s="62"/>
      <c r="I29" s="62"/>
      <c r="J29" s="62"/>
      <c r="K29" s="62"/>
      <c r="L29" s="62"/>
      <c r="M29" s="63"/>
    </row>
    <row r="30" spans="1:13">
      <c r="A30" s="59" t="s">
        <v>58</v>
      </c>
      <c r="B30" s="60"/>
      <c r="C30" s="61"/>
      <c r="D30" s="62" t="s">
        <v>75</v>
      </c>
      <c r="E30" s="62"/>
      <c r="F30" s="62"/>
      <c r="G30" s="62"/>
      <c r="H30" s="62"/>
      <c r="I30" s="62"/>
      <c r="J30" s="62"/>
      <c r="K30" s="62"/>
      <c r="L30" s="62"/>
      <c r="M30" s="63"/>
    </row>
    <row r="31" spans="1:13" ht="39" customHeight="1">
      <c r="A31" s="59" t="s">
        <v>60</v>
      </c>
      <c r="B31" s="60"/>
      <c r="C31" s="61"/>
      <c r="D31" s="34" t="s">
        <v>132</v>
      </c>
      <c r="E31" s="35"/>
      <c r="F31" s="35"/>
      <c r="G31" s="35"/>
      <c r="H31" s="35"/>
      <c r="I31" s="35"/>
      <c r="J31" s="35"/>
      <c r="K31" s="35"/>
      <c r="L31" s="35"/>
      <c r="M31" s="36"/>
    </row>
    <row r="32" spans="1:13">
      <c r="A32" s="64" t="s">
        <v>62</v>
      </c>
      <c r="B32" s="65"/>
      <c r="C32" s="66" t="s">
        <v>63</v>
      </c>
      <c r="D32" s="65"/>
      <c r="E32" s="66" t="s">
        <v>64</v>
      </c>
      <c r="F32" s="65"/>
      <c r="G32" s="66" t="s">
        <v>65</v>
      </c>
      <c r="H32" s="65"/>
      <c r="I32" s="66" t="s">
        <v>66</v>
      </c>
      <c r="J32" s="65"/>
      <c r="K32" s="66" t="s">
        <v>67</v>
      </c>
      <c r="L32" s="65"/>
      <c r="M32" s="6" t="s">
        <v>68</v>
      </c>
    </row>
    <row r="33" spans="1:13">
      <c r="A33" s="67" t="s">
        <v>84</v>
      </c>
      <c r="B33" s="68"/>
      <c r="C33" s="27" t="s">
        <v>133</v>
      </c>
      <c r="D33" s="28"/>
      <c r="E33" s="67" t="s">
        <v>79</v>
      </c>
      <c r="F33" s="68"/>
      <c r="G33" s="27" t="s">
        <v>70</v>
      </c>
      <c r="H33" s="28"/>
      <c r="I33" s="27" t="s">
        <v>134</v>
      </c>
      <c r="J33" s="28"/>
      <c r="K33" s="27" t="s">
        <v>135</v>
      </c>
      <c r="L33" s="28"/>
      <c r="M33" s="69" t="s">
        <v>73</v>
      </c>
    </row>
    <row r="34" spans="1:13" ht="60" customHeight="1">
      <c r="A34" s="70"/>
      <c r="B34" s="71"/>
      <c r="C34" s="29"/>
      <c r="D34" s="30"/>
      <c r="E34" s="70"/>
      <c r="F34" s="71"/>
      <c r="G34" s="29"/>
      <c r="H34" s="30"/>
      <c r="I34" s="29"/>
      <c r="J34" s="30"/>
      <c r="K34" s="29"/>
      <c r="L34" s="30"/>
      <c r="M34" s="72"/>
    </row>
    <row r="36" spans="1:13">
      <c r="A36" s="59" t="s">
        <v>54</v>
      </c>
      <c r="B36" s="60"/>
      <c r="C36" s="61"/>
      <c r="D36" s="62" t="s">
        <v>136</v>
      </c>
      <c r="E36" s="62"/>
      <c r="F36" s="62"/>
      <c r="G36" s="62"/>
      <c r="H36" s="62"/>
      <c r="I36" s="62"/>
      <c r="J36" s="62"/>
      <c r="K36" s="62"/>
      <c r="L36" s="62"/>
      <c r="M36" s="63"/>
    </row>
    <row r="37" spans="1:13">
      <c r="A37" s="59" t="s">
        <v>56</v>
      </c>
      <c r="B37" s="60"/>
      <c r="C37" s="61"/>
      <c r="D37" s="62" t="s">
        <v>41</v>
      </c>
      <c r="E37" s="62"/>
      <c r="F37" s="62"/>
      <c r="G37" s="62"/>
      <c r="H37" s="62"/>
      <c r="I37" s="62"/>
      <c r="J37" s="62"/>
      <c r="K37" s="62"/>
      <c r="L37" s="62"/>
      <c r="M37" s="63"/>
    </row>
    <row r="38" spans="1:13">
      <c r="A38" s="59" t="s">
        <v>58</v>
      </c>
      <c r="B38" s="60"/>
      <c r="C38" s="61"/>
      <c r="D38" s="62" t="s">
        <v>75</v>
      </c>
      <c r="E38" s="62"/>
      <c r="F38" s="62"/>
      <c r="G38" s="62"/>
      <c r="H38" s="62"/>
      <c r="I38" s="62"/>
      <c r="J38" s="62"/>
      <c r="K38" s="62"/>
      <c r="L38" s="62"/>
      <c r="M38" s="63"/>
    </row>
    <row r="39" spans="1:13" ht="21.75" customHeight="1">
      <c r="A39" s="59" t="s">
        <v>60</v>
      </c>
      <c r="B39" s="60"/>
      <c r="C39" s="61"/>
      <c r="D39" s="31" t="s">
        <v>137</v>
      </c>
      <c r="E39" s="32"/>
      <c r="F39" s="32"/>
      <c r="G39" s="32"/>
      <c r="H39" s="32"/>
      <c r="I39" s="32"/>
      <c r="J39" s="32"/>
      <c r="K39" s="32"/>
      <c r="L39" s="32"/>
      <c r="M39" s="33"/>
    </row>
    <row r="40" spans="1:13">
      <c r="A40" s="64" t="s">
        <v>62</v>
      </c>
      <c r="B40" s="65"/>
      <c r="C40" s="66" t="s">
        <v>63</v>
      </c>
      <c r="D40" s="65"/>
      <c r="E40" s="66" t="s">
        <v>64</v>
      </c>
      <c r="F40" s="65"/>
      <c r="G40" s="66" t="s">
        <v>65</v>
      </c>
      <c r="H40" s="65"/>
      <c r="I40" s="66" t="s">
        <v>66</v>
      </c>
      <c r="J40" s="65"/>
      <c r="K40" s="66" t="s">
        <v>67</v>
      </c>
      <c r="L40" s="65"/>
      <c r="M40" s="6" t="s">
        <v>68</v>
      </c>
    </row>
    <row r="41" spans="1:13">
      <c r="A41" s="67" t="s">
        <v>84</v>
      </c>
      <c r="B41" s="68"/>
      <c r="C41" s="27" t="s">
        <v>138</v>
      </c>
      <c r="D41" s="28"/>
      <c r="E41" s="67" t="s">
        <v>79</v>
      </c>
      <c r="F41" s="68"/>
      <c r="G41" s="27" t="s">
        <v>70</v>
      </c>
      <c r="H41" s="28"/>
      <c r="I41" s="27" t="s">
        <v>139</v>
      </c>
      <c r="J41" s="28"/>
      <c r="K41" s="27" t="s">
        <v>140</v>
      </c>
      <c r="L41" s="28"/>
      <c r="M41" s="69" t="s">
        <v>73</v>
      </c>
    </row>
    <row r="42" spans="1:13" ht="69.75" customHeight="1">
      <c r="A42" s="70"/>
      <c r="B42" s="71"/>
      <c r="C42" s="29"/>
      <c r="D42" s="30"/>
      <c r="E42" s="70"/>
      <c r="F42" s="71"/>
      <c r="G42" s="29"/>
      <c r="H42" s="30"/>
      <c r="I42" s="29"/>
      <c r="J42" s="30"/>
      <c r="K42" s="29"/>
      <c r="L42" s="30"/>
      <c r="M42" s="72"/>
    </row>
  </sheetData>
  <mergeCells count="105">
    <mergeCell ref="A22:C22"/>
    <mergeCell ref="D22:M22"/>
    <mergeCell ref="A23:B23"/>
    <mergeCell ref="C23:D23"/>
    <mergeCell ref="E23:F23"/>
    <mergeCell ref="G23:H23"/>
    <mergeCell ref="I23:J23"/>
    <mergeCell ref="K23:L23"/>
    <mergeCell ref="M24:M25"/>
    <mergeCell ref="A24:B25"/>
    <mergeCell ref="C24:D25"/>
    <mergeCell ref="E24:F25"/>
    <mergeCell ref="G24:H25"/>
    <mergeCell ref="I24:J25"/>
    <mergeCell ref="K24:L25"/>
    <mergeCell ref="A13:C13"/>
    <mergeCell ref="D13:M13"/>
    <mergeCell ref="A14:B14"/>
    <mergeCell ref="C14:D14"/>
    <mergeCell ref="E14:F14"/>
    <mergeCell ref="G14:H14"/>
    <mergeCell ref="I14:J14"/>
    <mergeCell ref="K14:L14"/>
    <mergeCell ref="A21:C21"/>
    <mergeCell ref="D21:M21"/>
    <mergeCell ref="A15:B16"/>
    <mergeCell ref="C15:D16"/>
    <mergeCell ref="E15:F16"/>
    <mergeCell ref="G15:H16"/>
    <mergeCell ref="I15:J16"/>
    <mergeCell ref="K15:L16"/>
    <mergeCell ref="M15:M16"/>
    <mergeCell ref="A19:C19"/>
    <mergeCell ref="D19:M19"/>
    <mergeCell ref="A20:C20"/>
    <mergeCell ref="D20:M20"/>
    <mergeCell ref="A12:C12"/>
    <mergeCell ref="D12:M12"/>
    <mergeCell ref="A6:B7"/>
    <mergeCell ref="C6:D7"/>
    <mergeCell ref="E6:F7"/>
    <mergeCell ref="G6:H7"/>
    <mergeCell ref="I6:J7"/>
    <mergeCell ref="K6:L7"/>
    <mergeCell ref="M6:M7"/>
    <mergeCell ref="A10:C10"/>
    <mergeCell ref="D10:M10"/>
    <mergeCell ref="A11:C11"/>
    <mergeCell ref="D11:M11"/>
    <mergeCell ref="A1:C1"/>
    <mergeCell ref="D1:M1"/>
    <mergeCell ref="A2:C2"/>
    <mergeCell ref="D2:M2"/>
    <mergeCell ref="A3:C3"/>
    <mergeCell ref="D3:M3"/>
    <mergeCell ref="A4:C4"/>
    <mergeCell ref="D4:M4"/>
    <mergeCell ref="A5:B5"/>
    <mergeCell ref="C5:D5"/>
    <mergeCell ref="E5:F5"/>
    <mergeCell ref="G5:H5"/>
    <mergeCell ref="I5:J5"/>
    <mergeCell ref="K5:L5"/>
    <mergeCell ref="A31:C31"/>
    <mergeCell ref="D31:M31"/>
    <mergeCell ref="A32:B32"/>
    <mergeCell ref="C32:D32"/>
    <mergeCell ref="E32:F32"/>
    <mergeCell ref="G32:H32"/>
    <mergeCell ref="I32:J32"/>
    <mergeCell ref="K32:L32"/>
    <mergeCell ref="A28:C28"/>
    <mergeCell ref="D28:M28"/>
    <mergeCell ref="A29:C29"/>
    <mergeCell ref="D29:M29"/>
    <mergeCell ref="A30:C30"/>
    <mergeCell ref="D30:M30"/>
    <mergeCell ref="K33:L34"/>
    <mergeCell ref="M33:M34"/>
    <mergeCell ref="A36:C36"/>
    <mergeCell ref="D36:M36"/>
    <mergeCell ref="A37:C37"/>
    <mergeCell ref="D37:M37"/>
    <mergeCell ref="A33:B34"/>
    <mergeCell ref="C33:D34"/>
    <mergeCell ref="E33:F34"/>
    <mergeCell ref="G33:H34"/>
    <mergeCell ref="I33:J34"/>
    <mergeCell ref="K41:L42"/>
    <mergeCell ref="M41:M42"/>
    <mergeCell ref="A41:B42"/>
    <mergeCell ref="C41:D42"/>
    <mergeCell ref="E41:F42"/>
    <mergeCell ref="G41:H42"/>
    <mergeCell ref="I41:J42"/>
    <mergeCell ref="A38:C38"/>
    <mergeCell ref="D38:M38"/>
    <mergeCell ref="A39:C39"/>
    <mergeCell ref="D39:M39"/>
    <mergeCell ref="A40:B40"/>
    <mergeCell ref="C40:D40"/>
    <mergeCell ref="E40:F40"/>
    <mergeCell ref="G40:H40"/>
    <mergeCell ref="I40:J40"/>
    <mergeCell ref="K40:L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49CF-BC4B-4098-A2B3-8CD94E38C8C3}">
  <dimension ref="A1:M35"/>
  <sheetViews>
    <sheetView topLeftCell="A21" workbookViewId="0">
      <selection activeCell="A34" sqref="A34:L35"/>
    </sheetView>
  </sheetViews>
  <sheetFormatPr defaultColWidth="9.140625" defaultRowHeight="15"/>
  <cols>
    <col min="13" max="13" width="14.7109375" customWidth="1"/>
  </cols>
  <sheetData>
    <row r="1" spans="1:13">
      <c r="A1" s="59" t="s">
        <v>54</v>
      </c>
      <c r="B1" s="60"/>
      <c r="C1" s="61"/>
      <c r="D1" s="62" t="s">
        <v>141</v>
      </c>
      <c r="E1" s="62"/>
      <c r="F1" s="62"/>
      <c r="G1" s="62"/>
      <c r="H1" s="62"/>
      <c r="I1" s="62"/>
      <c r="J1" s="62"/>
      <c r="K1" s="62"/>
      <c r="L1" s="62"/>
      <c r="M1" s="63"/>
    </row>
    <row r="2" spans="1:13">
      <c r="A2" s="59" t="s">
        <v>56</v>
      </c>
      <c r="B2" s="60"/>
      <c r="C2" s="61"/>
      <c r="D2" s="62" t="s">
        <v>42</v>
      </c>
      <c r="E2" s="62"/>
      <c r="F2" s="62"/>
      <c r="G2" s="62"/>
      <c r="H2" s="62"/>
      <c r="I2" s="62"/>
      <c r="J2" s="62"/>
      <c r="K2" s="62"/>
      <c r="L2" s="62"/>
      <c r="M2" s="63"/>
    </row>
    <row r="3" spans="1:13">
      <c r="A3" s="59" t="s">
        <v>58</v>
      </c>
      <c r="B3" s="60"/>
      <c r="C3" s="61"/>
      <c r="D3" s="62" t="s">
        <v>75</v>
      </c>
      <c r="E3" s="62"/>
      <c r="F3" s="62"/>
      <c r="G3" s="62"/>
      <c r="H3" s="62"/>
      <c r="I3" s="62"/>
      <c r="J3" s="62"/>
      <c r="K3" s="62"/>
      <c r="L3" s="62"/>
      <c r="M3" s="63"/>
    </row>
    <row r="4" spans="1:13" ht="44.25" customHeight="1">
      <c r="A4" s="59" t="s">
        <v>60</v>
      </c>
      <c r="B4" s="60"/>
      <c r="C4" s="61"/>
      <c r="D4" s="34" t="s">
        <v>142</v>
      </c>
      <c r="E4" s="35"/>
      <c r="F4" s="35"/>
      <c r="G4" s="35"/>
      <c r="H4" s="35"/>
      <c r="I4" s="35"/>
      <c r="J4" s="35"/>
      <c r="K4" s="35"/>
      <c r="L4" s="35"/>
      <c r="M4" s="36"/>
    </row>
    <row r="5" spans="1:13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13">
      <c r="A6" s="67" t="s">
        <v>5</v>
      </c>
      <c r="B6" s="68"/>
      <c r="C6" s="27" t="s">
        <v>143</v>
      </c>
      <c r="D6" s="28"/>
      <c r="E6" s="67" t="s">
        <v>79</v>
      </c>
      <c r="F6" s="68"/>
      <c r="G6" s="67" t="s">
        <v>70</v>
      </c>
      <c r="H6" s="68"/>
      <c r="I6" s="27" t="s">
        <v>144</v>
      </c>
      <c r="J6" s="28"/>
      <c r="K6" s="27" t="s">
        <v>145</v>
      </c>
      <c r="L6" s="28"/>
      <c r="M6" s="69" t="s">
        <v>73</v>
      </c>
    </row>
    <row r="7" spans="1:13" ht="50.25" customHeight="1">
      <c r="A7" s="70"/>
      <c r="B7" s="71"/>
      <c r="C7" s="29"/>
      <c r="D7" s="30"/>
      <c r="E7" s="70"/>
      <c r="F7" s="71"/>
      <c r="G7" s="70"/>
      <c r="H7" s="71"/>
      <c r="I7" s="29"/>
      <c r="J7" s="30"/>
      <c r="K7" s="29"/>
      <c r="L7" s="30"/>
      <c r="M7" s="72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9" t="s">
        <v>54</v>
      </c>
      <c r="B10" s="60"/>
      <c r="C10" s="61"/>
      <c r="D10" s="62" t="s">
        <v>146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13">
      <c r="A11" s="59" t="s">
        <v>56</v>
      </c>
      <c r="B11" s="60"/>
      <c r="C11" s="61"/>
      <c r="D11" s="62" t="s">
        <v>147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13" ht="13.5" customHeight="1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13" ht="34.5" customHeight="1">
      <c r="A13" s="59" t="s">
        <v>60</v>
      </c>
      <c r="B13" s="60"/>
      <c r="C13" s="61"/>
      <c r="D13" s="34" t="s">
        <v>148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13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13">
      <c r="A15" s="67" t="s">
        <v>77</v>
      </c>
      <c r="B15" s="68"/>
      <c r="C15" s="27" t="s">
        <v>149</v>
      </c>
      <c r="D15" s="28"/>
      <c r="E15" s="67" t="s">
        <v>79</v>
      </c>
      <c r="F15" s="68"/>
      <c r="G15" s="27" t="s">
        <v>122</v>
      </c>
      <c r="H15" s="28"/>
      <c r="I15" s="27" t="s">
        <v>150</v>
      </c>
      <c r="J15" s="28"/>
      <c r="K15" s="27" t="s">
        <v>151</v>
      </c>
      <c r="L15" s="28"/>
      <c r="M15" s="69" t="s">
        <v>73</v>
      </c>
    </row>
    <row r="16" spans="1:13" ht="74.25" customHeight="1">
      <c r="A16" s="70"/>
      <c r="B16" s="71"/>
      <c r="C16" s="29"/>
      <c r="D16" s="30"/>
      <c r="E16" s="70"/>
      <c r="F16" s="71"/>
      <c r="G16" s="29"/>
      <c r="H16" s="30"/>
      <c r="I16" s="29"/>
      <c r="J16" s="30"/>
      <c r="K16" s="29"/>
      <c r="L16" s="30"/>
      <c r="M16" s="72"/>
    </row>
    <row r="19" spans="1:13">
      <c r="A19" s="59" t="s">
        <v>54</v>
      </c>
      <c r="B19" s="60"/>
      <c r="C19" s="61"/>
      <c r="D19" s="62" t="s">
        <v>152</v>
      </c>
      <c r="E19" s="62"/>
      <c r="F19" s="62"/>
      <c r="G19" s="62"/>
      <c r="H19" s="62"/>
      <c r="I19" s="62"/>
      <c r="J19" s="62"/>
      <c r="K19" s="62"/>
      <c r="L19" s="62"/>
      <c r="M19" s="63"/>
    </row>
    <row r="20" spans="1:13">
      <c r="A20" s="59" t="s">
        <v>56</v>
      </c>
      <c r="B20" s="60"/>
      <c r="C20" s="61"/>
      <c r="D20" s="62" t="s">
        <v>153</v>
      </c>
      <c r="E20" s="62"/>
      <c r="F20" s="62"/>
      <c r="G20" s="62"/>
      <c r="H20" s="62"/>
      <c r="I20" s="62"/>
      <c r="J20" s="62"/>
      <c r="K20" s="62"/>
      <c r="L20" s="62"/>
      <c r="M20" s="63"/>
    </row>
    <row r="21" spans="1:13">
      <c r="A21" s="59" t="s">
        <v>58</v>
      </c>
      <c r="B21" s="60"/>
      <c r="C21" s="61"/>
      <c r="D21" s="62" t="s">
        <v>75</v>
      </c>
      <c r="E21" s="62"/>
      <c r="F21" s="62"/>
      <c r="G21" s="62"/>
      <c r="H21" s="62"/>
      <c r="I21" s="62"/>
      <c r="J21" s="62"/>
      <c r="K21" s="62"/>
      <c r="L21" s="62"/>
      <c r="M21" s="63"/>
    </row>
    <row r="22" spans="1:13" ht="29.25" customHeight="1">
      <c r="A22" s="59" t="s">
        <v>60</v>
      </c>
      <c r="B22" s="60"/>
      <c r="C22" s="61"/>
      <c r="D22" s="34" t="s">
        <v>154</v>
      </c>
      <c r="E22" s="35"/>
      <c r="F22" s="35"/>
      <c r="G22" s="35"/>
      <c r="H22" s="35"/>
      <c r="I22" s="35"/>
      <c r="J22" s="35"/>
      <c r="K22" s="35"/>
      <c r="L22" s="35"/>
      <c r="M22" s="36"/>
    </row>
    <row r="23" spans="1:13">
      <c r="A23" s="64" t="s">
        <v>62</v>
      </c>
      <c r="B23" s="65"/>
      <c r="C23" s="66" t="s">
        <v>63</v>
      </c>
      <c r="D23" s="65"/>
      <c r="E23" s="66" t="s">
        <v>64</v>
      </c>
      <c r="F23" s="65"/>
      <c r="G23" s="66" t="s">
        <v>65</v>
      </c>
      <c r="H23" s="65"/>
      <c r="I23" s="66" t="s">
        <v>66</v>
      </c>
      <c r="J23" s="65"/>
      <c r="K23" s="66" t="s">
        <v>67</v>
      </c>
      <c r="L23" s="65"/>
      <c r="M23" s="6" t="s">
        <v>68</v>
      </c>
    </row>
    <row r="24" spans="1:13">
      <c r="A24" s="67" t="s">
        <v>84</v>
      </c>
      <c r="B24" s="68"/>
      <c r="C24" s="27" t="s">
        <v>155</v>
      </c>
      <c r="D24" s="28"/>
      <c r="E24" s="67" t="s">
        <v>79</v>
      </c>
      <c r="F24" s="68"/>
      <c r="G24" s="27" t="s">
        <v>77</v>
      </c>
      <c r="H24" s="28"/>
      <c r="I24" s="27" t="s">
        <v>156</v>
      </c>
      <c r="J24" s="28"/>
      <c r="K24" s="27" t="s">
        <v>157</v>
      </c>
      <c r="L24" s="28"/>
      <c r="M24" s="69" t="s">
        <v>73</v>
      </c>
    </row>
    <row r="25" spans="1:13" ht="60" customHeight="1">
      <c r="A25" s="70"/>
      <c r="B25" s="71"/>
      <c r="C25" s="29"/>
      <c r="D25" s="30"/>
      <c r="E25" s="70"/>
      <c r="F25" s="71"/>
      <c r="G25" s="29"/>
      <c r="H25" s="30"/>
      <c r="I25" s="29"/>
      <c r="J25" s="30"/>
      <c r="K25" s="29"/>
      <c r="L25" s="30"/>
      <c r="M25" s="72"/>
    </row>
    <row r="29" spans="1:13">
      <c r="A29" s="59" t="s">
        <v>54</v>
      </c>
      <c r="B29" s="60"/>
      <c r="C29" s="61"/>
      <c r="D29" s="62" t="s">
        <v>158</v>
      </c>
      <c r="E29" s="62"/>
      <c r="F29" s="62"/>
      <c r="G29" s="62"/>
      <c r="H29" s="62"/>
      <c r="I29" s="62"/>
      <c r="J29" s="62"/>
      <c r="K29" s="62"/>
      <c r="L29" s="62"/>
      <c r="M29" s="63"/>
    </row>
    <row r="30" spans="1:13">
      <c r="A30" s="59" t="s">
        <v>56</v>
      </c>
      <c r="B30" s="60"/>
      <c r="C30" s="61"/>
      <c r="D30" s="62" t="s">
        <v>159</v>
      </c>
      <c r="E30" s="62"/>
      <c r="F30" s="62"/>
      <c r="G30" s="62"/>
      <c r="H30" s="62"/>
      <c r="I30" s="62"/>
      <c r="J30" s="62"/>
      <c r="K30" s="62"/>
      <c r="L30" s="62"/>
      <c r="M30" s="63"/>
    </row>
    <row r="31" spans="1:13">
      <c r="A31" s="59" t="s">
        <v>58</v>
      </c>
      <c r="B31" s="60"/>
      <c r="C31" s="61"/>
      <c r="D31" s="62" t="s">
        <v>75</v>
      </c>
      <c r="E31" s="62"/>
      <c r="F31" s="62"/>
      <c r="G31" s="62"/>
      <c r="H31" s="62"/>
      <c r="I31" s="62"/>
      <c r="J31" s="62"/>
      <c r="K31" s="62"/>
      <c r="L31" s="62"/>
      <c r="M31" s="63"/>
    </row>
    <row r="32" spans="1:13" ht="31.5" customHeight="1">
      <c r="A32" s="59" t="s">
        <v>60</v>
      </c>
      <c r="B32" s="60"/>
      <c r="C32" s="61"/>
      <c r="D32" s="34" t="s">
        <v>160</v>
      </c>
      <c r="E32" s="35"/>
      <c r="F32" s="35"/>
      <c r="G32" s="35"/>
      <c r="H32" s="35"/>
      <c r="I32" s="35"/>
      <c r="J32" s="35"/>
      <c r="K32" s="35"/>
      <c r="L32" s="35"/>
      <c r="M32" s="36"/>
    </row>
    <row r="33" spans="1:13">
      <c r="A33" s="64" t="s">
        <v>62</v>
      </c>
      <c r="B33" s="65"/>
      <c r="C33" s="66" t="s">
        <v>63</v>
      </c>
      <c r="D33" s="65"/>
      <c r="E33" s="66" t="s">
        <v>64</v>
      </c>
      <c r="F33" s="65"/>
      <c r="G33" s="66" t="s">
        <v>65</v>
      </c>
      <c r="H33" s="65"/>
      <c r="I33" s="66" t="s">
        <v>66</v>
      </c>
      <c r="J33" s="65"/>
      <c r="K33" s="66" t="s">
        <v>67</v>
      </c>
      <c r="L33" s="65"/>
      <c r="M33" s="6" t="s">
        <v>68</v>
      </c>
    </row>
    <row r="34" spans="1:13">
      <c r="A34" s="67" t="s">
        <v>84</v>
      </c>
      <c r="B34" s="68"/>
      <c r="C34" s="27" t="s">
        <v>161</v>
      </c>
      <c r="D34" s="28"/>
      <c r="E34" s="67" t="s">
        <v>79</v>
      </c>
      <c r="F34" s="68"/>
      <c r="G34" s="27" t="s">
        <v>77</v>
      </c>
      <c r="H34" s="28"/>
      <c r="I34" s="27" t="s">
        <v>162</v>
      </c>
      <c r="J34" s="28"/>
      <c r="K34" s="27" t="s">
        <v>163</v>
      </c>
      <c r="L34" s="28"/>
      <c r="M34" s="69" t="s">
        <v>73</v>
      </c>
    </row>
    <row r="35" spans="1:13" ht="51" customHeight="1">
      <c r="A35" s="70"/>
      <c r="B35" s="71"/>
      <c r="C35" s="29"/>
      <c r="D35" s="30"/>
      <c r="E35" s="70"/>
      <c r="F35" s="71"/>
      <c r="G35" s="29"/>
      <c r="H35" s="30"/>
      <c r="I35" s="29"/>
      <c r="J35" s="30"/>
      <c r="K35" s="29"/>
      <c r="L35" s="30"/>
      <c r="M35" s="72"/>
    </row>
  </sheetData>
  <mergeCells count="84">
    <mergeCell ref="M24:M25"/>
    <mergeCell ref="A24:B25"/>
    <mergeCell ref="C24:D25"/>
    <mergeCell ref="E24:F25"/>
    <mergeCell ref="G24:H25"/>
    <mergeCell ref="I24:J25"/>
    <mergeCell ref="K24:L25"/>
    <mergeCell ref="A22:C22"/>
    <mergeCell ref="D22:M22"/>
    <mergeCell ref="A23:B23"/>
    <mergeCell ref="C23:D23"/>
    <mergeCell ref="E23:F23"/>
    <mergeCell ref="G23:H23"/>
    <mergeCell ref="I23:J23"/>
    <mergeCell ref="K23:L23"/>
    <mergeCell ref="A21:C21"/>
    <mergeCell ref="D21:M21"/>
    <mergeCell ref="A15:B16"/>
    <mergeCell ref="C15:D16"/>
    <mergeCell ref="E15:F16"/>
    <mergeCell ref="G15:H16"/>
    <mergeCell ref="I15:J16"/>
    <mergeCell ref="K15:L16"/>
    <mergeCell ref="M15:M16"/>
    <mergeCell ref="A19:C19"/>
    <mergeCell ref="D19:M19"/>
    <mergeCell ref="A20:C20"/>
    <mergeCell ref="D20:M20"/>
    <mergeCell ref="A13:C13"/>
    <mergeCell ref="D13:M13"/>
    <mergeCell ref="A14:B14"/>
    <mergeCell ref="C14:D14"/>
    <mergeCell ref="E14:F14"/>
    <mergeCell ref="G14:H14"/>
    <mergeCell ref="I14:J14"/>
    <mergeCell ref="K14:L14"/>
    <mergeCell ref="A12:C12"/>
    <mergeCell ref="D12:M12"/>
    <mergeCell ref="A6:B7"/>
    <mergeCell ref="C6:D7"/>
    <mergeCell ref="E6:F7"/>
    <mergeCell ref="G6:H7"/>
    <mergeCell ref="I6:J7"/>
    <mergeCell ref="K6:L7"/>
    <mergeCell ref="M6:M7"/>
    <mergeCell ref="A10:C10"/>
    <mergeCell ref="D10:M10"/>
    <mergeCell ref="A11:C11"/>
    <mergeCell ref="D11:M11"/>
    <mergeCell ref="A4:C4"/>
    <mergeCell ref="D4:M4"/>
    <mergeCell ref="A5:B5"/>
    <mergeCell ref="C5:D5"/>
    <mergeCell ref="E5:F5"/>
    <mergeCell ref="G5:H5"/>
    <mergeCell ref="I5:J5"/>
    <mergeCell ref="K5:L5"/>
    <mergeCell ref="A1:C1"/>
    <mergeCell ref="D1:M1"/>
    <mergeCell ref="A2:C2"/>
    <mergeCell ref="D2:M2"/>
    <mergeCell ref="A3:C3"/>
    <mergeCell ref="D3:M3"/>
    <mergeCell ref="A29:C29"/>
    <mergeCell ref="D29:M29"/>
    <mergeCell ref="A30:C30"/>
    <mergeCell ref="D30:M30"/>
    <mergeCell ref="A31:C31"/>
    <mergeCell ref="D31:M31"/>
    <mergeCell ref="A32:C32"/>
    <mergeCell ref="D32:M32"/>
    <mergeCell ref="A33:B33"/>
    <mergeCell ref="C33:D33"/>
    <mergeCell ref="E33:F33"/>
    <mergeCell ref="G33:H33"/>
    <mergeCell ref="I33:J33"/>
    <mergeCell ref="K33:L33"/>
    <mergeCell ref="K34:L35"/>
    <mergeCell ref="M34:M35"/>
    <mergeCell ref="A34:B35"/>
    <mergeCell ref="C34:D35"/>
    <mergeCell ref="E34:F35"/>
    <mergeCell ref="G34:H35"/>
    <mergeCell ref="I34:J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E252-8FEC-4C94-B6EA-2DCF9EFD722E}">
  <dimension ref="A1:M25"/>
  <sheetViews>
    <sheetView topLeftCell="A16" workbookViewId="0">
      <selection activeCell="K24" sqref="K24:L25"/>
    </sheetView>
  </sheetViews>
  <sheetFormatPr defaultColWidth="9.140625" defaultRowHeight="15"/>
  <cols>
    <col min="13" max="13" width="13" customWidth="1"/>
  </cols>
  <sheetData>
    <row r="1" spans="1:13">
      <c r="A1" s="59" t="s">
        <v>54</v>
      </c>
      <c r="B1" s="60"/>
      <c r="C1" s="61"/>
      <c r="D1" s="62" t="s">
        <v>164</v>
      </c>
      <c r="E1" s="62"/>
      <c r="F1" s="62"/>
      <c r="G1" s="62"/>
      <c r="H1" s="62"/>
      <c r="I1" s="62"/>
      <c r="J1" s="62"/>
      <c r="K1" s="62"/>
      <c r="L1" s="62"/>
      <c r="M1" s="63"/>
    </row>
    <row r="2" spans="1:13">
      <c r="A2" s="59" t="s">
        <v>56</v>
      </c>
      <c r="B2" s="60"/>
      <c r="C2" s="61"/>
      <c r="D2" s="62" t="s">
        <v>165</v>
      </c>
      <c r="E2" s="62"/>
      <c r="F2" s="62"/>
      <c r="G2" s="62"/>
      <c r="H2" s="62"/>
      <c r="I2" s="62"/>
      <c r="J2" s="62"/>
      <c r="K2" s="62"/>
      <c r="L2" s="62"/>
      <c r="M2" s="63"/>
    </row>
    <row r="3" spans="1:13">
      <c r="A3" s="59" t="s">
        <v>58</v>
      </c>
      <c r="B3" s="60"/>
      <c r="C3" s="61"/>
      <c r="D3" s="62" t="s">
        <v>75</v>
      </c>
      <c r="E3" s="62"/>
      <c r="F3" s="62"/>
      <c r="G3" s="62"/>
      <c r="H3" s="62"/>
      <c r="I3" s="62"/>
      <c r="J3" s="62"/>
      <c r="K3" s="62"/>
      <c r="L3" s="62"/>
      <c r="M3" s="63"/>
    </row>
    <row r="4" spans="1:13" ht="27.75" customHeight="1">
      <c r="A4" s="59" t="s">
        <v>60</v>
      </c>
      <c r="B4" s="60"/>
      <c r="C4" s="61"/>
      <c r="D4" s="34" t="s">
        <v>166</v>
      </c>
      <c r="E4" s="35"/>
      <c r="F4" s="35"/>
      <c r="G4" s="35"/>
      <c r="H4" s="35"/>
      <c r="I4" s="35"/>
      <c r="J4" s="35"/>
      <c r="K4" s="35"/>
      <c r="L4" s="35"/>
      <c r="M4" s="36"/>
    </row>
    <row r="5" spans="1:13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13">
      <c r="A6" s="67" t="s">
        <v>5</v>
      </c>
      <c r="B6" s="68"/>
      <c r="C6" s="27" t="s">
        <v>167</v>
      </c>
      <c r="D6" s="28"/>
      <c r="E6" s="67" t="s">
        <v>115</v>
      </c>
      <c r="F6" s="68"/>
      <c r="G6" s="67" t="s">
        <v>70</v>
      </c>
      <c r="H6" s="68"/>
      <c r="I6" s="27" t="s">
        <v>168</v>
      </c>
      <c r="J6" s="28"/>
      <c r="K6" s="27" t="s">
        <v>169</v>
      </c>
      <c r="L6" s="28"/>
      <c r="M6" s="69" t="s">
        <v>73</v>
      </c>
    </row>
    <row r="7" spans="1:13" ht="50.25" customHeight="1">
      <c r="A7" s="70"/>
      <c r="B7" s="71"/>
      <c r="C7" s="29"/>
      <c r="D7" s="30"/>
      <c r="E7" s="70"/>
      <c r="F7" s="71"/>
      <c r="G7" s="70"/>
      <c r="H7" s="71"/>
      <c r="I7" s="29"/>
      <c r="J7" s="30"/>
      <c r="K7" s="29"/>
      <c r="L7" s="30"/>
      <c r="M7" s="72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9" t="s">
        <v>54</v>
      </c>
      <c r="B10" s="60"/>
      <c r="C10" s="61"/>
      <c r="D10" s="62" t="s">
        <v>170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13">
      <c r="A11" s="59" t="s">
        <v>56</v>
      </c>
      <c r="B11" s="60"/>
      <c r="C11" s="61"/>
      <c r="D11" s="62" t="s">
        <v>171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13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13" ht="33" customHeight="1">
      <c r="A13" s="59" t="s">
        <v>60</v>
      </c>
      <c r="B13" s="60"/>
      <c r="C13" s="61"/>
      <c r="D13" s="34" t="s">
        <v>172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13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13">
      <c r="A15" s="67" t="s">
        <v>96</v>
      </c>
      <c r="B15" s="68"/>
      <c r="C15" s="27" t="s">
        <v>173</v>
      </c>
      <c r="D15" s="28"/>
      <c r="E15" s="67" t="s">
        <v>79</v>
      </c>
      <c r="F15" s="68"/>
      <c r="G15" s="27" t="s">
        <v>70</v>
      </c>
      <c r="H15" s="28"/>
      <c r="I15" s="27" t="s">
        <v>174</v>
      </c>
      <c r="J15" s="28"/>
      <c r="K15" s="27" t="s">
        <v>175</v>
      </c>
      <c r="L15" s="28"/>
      <c r="M15" s="69" t="s">
        <v>73</v>
      </c>
    </row>
    <row r="16" spans="1:13" ht="74.25" customHeight="1">
      <c r="A16" s="70"/>
      <c r="B16" s="71"/>
      <c r="C16" s="29"/>
      <c r="D16" s="30"/>
      <c r="E16" s="70"/>
      <c r="F16" s="71"/>
      <c r="G16" s="29"/>
      <c r="H16" s="30"/>
      <c r="I16" s="29"/>
      <c r="J16" s="30"/>
      <c r="K16" s="29"/>
      <c r="L16" s="30"/>
      <c r="M16" s="72"/>
    </row>
    <row r="19" spans="1:13">
      <c r="A19" s="59" t="s">
        <v>54</v>
      </c>
      <c r="B19" s="60"/>
      <c r="C19" s="61"/>
      <c r="D19" s="62" t="s">
        <v>176</v>
      </c>
      <c r="E19" s="62"/>
      <c r="F19" s="62"/>
      <c r="G19" s="62"/>
      <c r="H19" s="62"/>
      <c r="I19" s="62"/>
      <c r="J19" s="62"/>
      <c r="K19" s="62"/>
      <c r="L19" s="62"/>
      <c r="M19" s="63"/>
    </row>
    <row r="20" spans="1:13">
      <c r="A20" s="59" t="s">
        <v>56</v>
      </c>
      <c r="B20" s="60"/>
      <c r="C20" s="61"/>
      <c r="D20" s="62" t="s">
        <v>177</v>
      </c>
      <c r="E20" s="62"/>
      <c r="F20" s="62"/>
      <c r="G20" s="62"/>
      <c r="H20" s="62"/>
      <c r="I20" s="62"/>
      <c r="J20" s="62"/>
      <c r="K20" s="62"/>
      <c r="L20" s="62"/>
      <c r="M20" s="63"/>
    </row>
    <row r="21" spans="1:13">
      <c r="A21" s="59" t="s">
        <v>58</v>
      </c>
      <c r="B21" s="60"/>
      <c r="C21" s="61"/>
      <c r="D21" s="62" t="s">
        <v>75</v>
      </c>
      <c r="E21" s="62"/>
      <c r="F21" s="62"/>
      <c r="G21" s="62"/>
      <c r="H21" s="62"/>
      <c r="I21" s="62"/>
      <c r="J21" s="62"/>
      <c r="K21" s="62"/>
      <c r="L21" s="62"/>
      <c r="M21" s="63"/>
    </row>
    <row r="22" spans="1:13" ht="46.5" customHeight="1">
      <c r="A22" s="59" t="s">
        <v>60</v>
      </c>
      <c r="B22" s="60"/>
      <c r="C22" s="61"/>
      <c r="D22" s="34" t="s">
        <v>178</v>
      </c>
      <c r="E22" s="35"/>
      <c r="F22" s="35"/>
      <c r="G22" s="35"/>
      <c r="H22" s="35"/>
      <c r="I22" s="35"/>
      <c r="J22" s="35"/>
      <c r="K22" s="35"/>
      <c r="L22" s="35"/>
      <c r="M22" s="36"/>
    </row>
    <row r="23" spans="1:13">
      <c r="A23" s="64" t="s">
        <v>62</v>
      </c>
      <c r="B23" s="65"/>
      <c r="C23" s="66" t="s">
        <v>63</v>
      </c>
      <c r="D23" s="65"/>
      <c r="E23" s="66" t="s">
        <v>64</v>
      </c>
      <c r="F23" s="65"/>
      <c r="G23" s="66" t="s">
        <v>65</v>
      </c>
      <c r="H23" s="65"/>
      <c r="I23" s="66" t="s">
        <v>66</v>
      </c>
      <c r="J23" s="65"/>
      <c r="K23" s="66" t="s">
        <v>67</v>
      </c>
      <c r="L23" s="65"/>
      <c r="M23" s="6" t="s">
        <v>68</v>
      </c>
    </row>
    <row r="24" spans="1:13">
      <c r="A24" s="67" t="s">
        <v>4</v>
      </c>
      <c r="B24" s="68"/>
      <c r="C24" s="27" t="s">
        <v>179</v>
      </c>
      <c r="D24" s="28"/>
      <c r="E24" s="67" t="s">
        <v>79</v>
      </c>
      <c r="F24" s="68"/>
      <c r="G24" s="27" t="s">
        <v>70</v>
      </c>
      <c r="H24" s="28"/>
      <c r="I24" s="27" t="s">
        <v>180</v>
      </c>
      <c r="J24" s="28"/>
      <c r="K24" s="27" t="s">
        <v>181</v>
      </c>
      <c r="L24" s="28"/>
      <c r="M24" s="69" t="s">
        <v>73</v>
      </c>
    </row>
    <row r="25" spans="1:13" ht="60" customHeight="1">
      <c r="A25" s="70"/>
      <c r="B25" s="71"/>
      <c r="C25" s="29"/>
      <c r="D25" s="30"/>
      <c r="E25" s="70"/>
      <c r="F25" s="71"/>
      <c r="G25" s="29"/>
      <c r="H25" s="30"/>
      <c r="I25" s="29"/>
      <c r="J25" s="30"/>
      <c r="K25" s="29"/>
      <c r="L25" s="30"/>
      <c r="M25" s="72"/>
    </row>
  </sheetData>
  <mergeCells count="63">
    <mergeCell ref="M24:M25"/>
    <mergeCell ref="A24:B25"/>
    <mergeCell ref="C24:D25"/>
    <mergeCell ref="E24:F25"/>
    <mergeCell ref="G24:H25"/>
    <mergeCell ref="I24:J25"/>
    <mergeCell ref="K24:L25"/>
    <mergeCell ref="A22:C22"/>
    <mergeCell ref="D22:M22"/>
    <mergeCell ref="A23:B23"/>
    <mergeCell ref="C23:D23"/>
    <mergeCell ref="E23:F23"/>
    <mergeCell ref="G23:H23"/>
    <mergeCell ref="I23:J23"/>
    <mergeCell ref="K23:L23"/>
    <mergeCell ref="A21:C21"/>
    <mergeCell ref="D21:M21"/>
    <mergeCell ref="A15:B16"/>
    <mergeCell ref="C15:D16"/>
    <mergeCell ref="E15:F16"/>
    <mergeCell ref="G15:H16"/>
    <mergeCell ref="I15:J16"/>
    <mergeCell ref="K15:L16"/>
    <mergeCell ref="M15:M16"/>
    <mergeCell ref="A19:C19"/>
    <mergeCell ref="D19:M19"/>
    <mergeCell ref="A20:C20"/>
    <mergeCell ref="D20:M20"/>
    <mergeCell ref="A13:C13"/>
    <mergeCell ref="D13:M13"/>
    <mergeCell ref="A14:B14"/>
    <mergeCell ref="C14:D14"/>
    <mergeCell ref="E14:F14"/>
    <mergeCell ref="G14:H14"/>
    <mergeCell ref="I14:J14"/>
    <mergeCell ref="K14:L14"/>
    <mergeCell ref="A12:C12"/>
    <mergeCell ref="D12:M12"/>
    <mergeCell ref="A6:B7"/>
    <mergeCell ref="C6:D7"/>
    <mergeCell ref="E6:F7"/>
    <mergeCell ref="G6:H7"/>
    <mergeCell ref="I6:J7"/>
    <mergeCell ref="K6:L7"/>
    <mergeCell ref="M6:M7"/>
    <mergeCell ref="A10:C10"/>
    <mergeCell ref="D10:M10"/>
    <mergeCell ref="A11:C11"/>
    <mergeCell ref="D11:M11"/>
    <mergeCell ref="A4:C4"/>
    <mergeCell ref="D4:M4"/>
    <mergeCell ref="A5:B5"/>
    <mergeCell ref="C5:D5"/>
    <mergeCell ref="E5:F5"/>
    <mergeCell ref="G5:H5"/>
    <mergeCell ref="I5:J5"/>
    <mergeCell ref="K5:L5"/>
    <mergeCell ref="A1:C1"/>
    <mergeCell ref="D1:M1"/>
    <mergeCell ref="A2:C2"/>
    <mergeCell ref="D2:M2"/>
    <mergeCell ref="A3:C3"/>
    <mergeCell ref="D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43BA-0361-4961-9FD0-03FD22FDA170}">
  <dimension ref="A1:M16"/>
  <sheetViews>
    <sheetView workbookViewId="0">
      <selection activeCell="K6" sqref="K6:L7"/>
    </sheetView>
  </sheetViews>
  <sheetFormatPr defaultColWidth="9.140625" defaultRowHeight="15"/>
  <sheetData>
    <row r="1" spans="1:13">
      <c r="A1" s="59" t="s">
        <v>54</v>
      </c>
      <c r="B1" s="60"/>
      <c r="C1" s="61"/>
      <c r="D1" s="62" t="s">
        <v>182</v>
      </c>
      <c r="E1" s="62"/>
      <c r="F1" s="62"/>
      <c r="G1" s="62"/>
      <c r="H1" s="62"/>
      <c r="I1" s="62"/>
      <c r="J1" s="62"/>
      <c r="K1" s="62"/>
      <c r="L1" s="62"/>
      <c r="M1" s="63"/>
    </row>
    <row r="2" spans="1:13">
      <c r="A2" s="59" t="s">
        <v>56</v>
      </c>
      <c r="B2" s="60"/>
      <c r="C2" s="61"/>
      <c r="D2" s="62" t="s">
        <v>183</v>
      </c>
      <c r="E2" s="62"/>
      <c r="F2" s="62"/>
      <c r="G2" s="62"/>
      <c r="H2" s="62"/>
      <c r="I2" s="62"/>
      <c r="J2" s="62"/>
      <c r="K2" s="62"/>
      <c r="L2" s="62"/>
      <c r="M2" s="63"/>
    </row>
    <row r="3" spans="1:13">
      <c r="A3" s="59" t="s">
        <v>58</v>
      </c>
      <c r="B3" s="60"/>
      <c r="C3" s="61"/>
      <c r="D3" s="62" t="s">
        <v>75</v>
      </c>
      <c r="E3" s="62"/>
      <c r="F3" s="62"/>
      <c r="G3" s="62"/>
      <c r="H3" s="62"/>
      <c r="I3" s="62"/>
      <c r="J3" s="62"/>
      <c r="K3" s="62"/>
      <c r="L3" s="62"/>
      <c r="M3" s="63"/>
    </row>
    <row r="4" spans="1:13" ht="30" customHeight="1">
      <c r="A4" s="59" t="s">
        <v>60</v>
      </c>
      <c r="B4" s="60"/>
      <c r="C4" s="61"/>
      <c r="D4" s="34" t="s">
        <v>184</v>
      </c>
      <c r="E4" s="35"/>
      <c r="F4" s="35"/>
      <c r="G4" s="35"/>
      <c r="H4" s="35"/>
      <c r="I4" s="35"/>
      <c r="J4" s="35"/>
      <c r="K4" s="35"/>
      <c r="L4" s="35"/>
      <c r="M4" s="36"/>
    </row>
    <row r="5" spans="1:13">
      <c r="A5" s="64" t="s">
        <v>62</v>
      </c>
      <c r="B5" s="65"/>
      <c r="C5" s="66" t="s">
        <v>63</v>
      </c>
      <c r="D5" s="65"/>
      <c r="E5" s="66" t="s">
        <v>64</v>
      </c>
      <c r="F5" s="65"/>
      <c r="G5" s="66" t="s">
        <v>65</v>
      </c>
      <c r="H5" s="65"/>
      <c r="I5" s="66" t="s">
        <v>66</v>
      </c>
      <c r="J5" s="65"/>
      <c r="K5" s="66" t="s">
        <v>67</v>
      </c>
      <c r="L5" s="65"/>
      <c r="M5" s="6" t="s">
        <v>68</v>
      </c>
    </row>
    <row r="6" spans="1:13">
      <c r="A6" s="67" t="s">
        <v>185</v>
      </c>
      <c r="B6" s="68"/>
      <c r="C6" s="27" t="s">
        <v>186</v>
      </c>
      <c r="D6" s="28"/>
      <c r="E6" s="67" t="s">
        <v>115</v>
      </c>
      <c r="F6" s="68"/>
      <c r="G6" s="67" t="s">
        <v>70</v>
      </c>
      <c r="H6" s="68"/>
      <c r="I6" s="27" t="s">
        <v>187</v>
      </c>
      <c r="J6" s="28"/>
      <c r="K6" s="27" t="s">
        <v>188</v>
      </c>
      <c r="L6" s="28"/>
      <c r="M6" s="69" t="s">
        <v>73</v>
      </c>
    </row>
    <row r="7" spans="1:13" ht="63.75" customHeight="1">
      <c r="A7" s="70"/>
      <c r="B7" s="71"/>
      <c r="C7" s="29"/>
      <c r="D7" s="30"/>
      <c r="E7" s="70"/>
      <c r="F7" s="71"/>
      <c r="G7" s="70"/>
      <c r="H7" s="71"/>
      <c r="I7" s="29"/>
      <c r="J7" s="30"/>
      <c r="K7" s="29"/>
      <c r="L7" s="30"/>
      <c r="M7" s="72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9" t="s">
        <v>54</v>
      </c>
      <c r="B10" s="60"/>
      <c r="C10" s="61"/>
      <c r="D10" s="62" t="s">
        <v>189</v>
      </c>
      <c r="E10" s="62"/>
      <c r="F10" s="62"/>
      <c r="G10" s="62"/>
      <c r="H10" s="62"/>
      <c r="I10" s="62"/>
      <c r="J10" s="62"/>
      <c r="K10" s="62"/>
      <c r="L10" s="62"/>
      <c r="M10" s="63"/>
    </row>
    <row r="11" spans="1:13">
      <c r="A11" s="59" t="s">
        <v>56</v>
      </c>
      <c r="B11" s="60"/>
      <c r="C11" s="61"/>
      <c r="D11" s="62" t="s">
        <v>53</v>
      </c>
      <c r="E11" s="62"/>
      <c r="F11" s="62"/>
      <c r="G11" s="62"/>
      <c r="H11" s="62"/>
      <c r="I11" s="62"/>
      <c r="J11" s="62"/>
      <c r="K11" s="62"/>
      <c r="L11" s="62"/>
      <c r="M11" s="63"/>
    </row>
    <row r="12" spans="1:13">
      <c r="A12" s="59" t="s">
        <v>58</v>
      </c>
      <c r="B12" s="60"/>
      <c r="C12" s="61"/>
      <c r="D12" s="62" t="s">
        <v>75</v>
      </c>
      <c r="E12" s="62"/>
      <c r="F12" s="62"/>
      <c r="G12" s="62"/>
      <c r="H12" s="62"/>
      <c r="I12" s="62"/>
      <c r="J12" s="62"/>
      <c r="K12" s="62"/>
      <c r="L12" s="62"/>
      <c r="M12" s="63"/>
    </row>
    <row r="13" spans="1:13" ht="37.5" customHeight="1">
      <c r="A13" s="59" t="s">
        <v>60</v>
      </c>
      <c r="B13" s="60"/>
      <c r="C13" s="61"/>
      <c r="D13" s="34" t="s">
        <v>190</v>
      </c>
      <c r="E13" s="35"/>
      <c r="F13" s="35"/>
      <c r="G13" s="35"/>
      <c r="H13" s="35"/>
      <c r="I13" s="35"/>
      <c r="J13" s="35"/>
      <c r="K13" s="35"/>
      <c r="L13" s="35"/>
      <c r="M13" s="36"/>
    </row>
    <row r="14" spans="1:13">
      <c r="A14" s="64" t="s">
        <v>62</v>
      </c>
      <c r="B14" s="65"/>
      <c r="C14" s="66" t="s">
        <v>63</v>
      </c>
      <c r="D14" s="65"/>
      <c r="E14" s="66" t="s">
        <v>64</v>
      </c>
      <c r="F14" s="65"/>
      <c r="G14" s="66" t="s">
        <v>65</v>
      </c>
      <c r="H14" s="65"/>
      <c r="I14" s="66" t="s">
        <v>66</v>
      </c>
      <c r="J14" s="65"/>
      <c r="K14" s="66" t="s">
        <v>67</v>
      </c>
      <c r="L14" s="65"/>
      <c r="M14" s="6" t="s">
        <v>68</v>
      </c>
    </row>
    <row r="15" spans="1:13">
      <c r="A15" s="67" t="s">
        <v>185</v>
      </c>
      <c r="B15" s="68"/>
      <c r="C15" s="27" t="s">
        <v>191</v>
      </c>
      <c r="D15" s="28"/>
      <c r="E15" s="67" t="s">
        <v>79</v>
      </c>
      <c r="F15" s="68"/>
      <c r="G15" s="27" t="s">
        <v>70</v>
      </c>
      <c r="H15" s="28"/>
      <c r="I15" s="27" t="s">
        <v>192</v>
      </c>
      <c r="J15" s="28"/>
      <c r="K15" s="27" t="s">
        <v>193</v>
      </c>
      <c r="L15" s="28"/>
      <c r="M15" s="69" t="s">
        <v>73</v>
      </c>
    </row>
    <row r="16" spans="1:13" ht="74.25" customHeight="1">
      <c r="A16" s="70"/>
      <c r="B16" s="71"/>
      <c r="C16" s="29"/>
      <c r="D16" s="30"/>
      <c r="E16" s="70"/>
      <c r="F16" s="71"/>
      <c r="G16" s="29"/>
      <c r="H16" s="30"/>
      <c r="I16" s="29"/>
      <c r="J16" s="30"/>
      <c r="K16" s="29"/>
      <c r="L16" s="30"/>
      <c r="M16" s="72"/>
    </row>
  </sheetData>
  <mergeCells count="42">
    <mergeCell ref="K15:L16"/>
    <mergeCell ref="M15:M16"/>
    <mergeCell ref="A15:B16"/>
    <mergeCell ref="C15:D16"/>
    <mergeCell ref="E15:F16"/>
    <mergeCell ref="G15:H16"/>
    <mergeCell ref="I15:J16"/>
    <mergeCell ref="A13:C13"/>
    <mergeCell ref="D13:M13"/>
    <mergeCell ref="A14:B14"/>
    <mergeCell ref="C14:D14"/>
    <mergeCell ref="E14:F14"/>
    <mergeCell ref="G14:H14"/>
    <mergeCell ref="I14:J14"/>
    <mergeCell ref="K14:L14"/>
    <mergeCell ref="A12:C12"/>
    <mergeCell ref="D12:M12"/>
    <mergeCell ref="A6:B7"/>
    <mergeCell ref="C6:D7"/>
    <mergeCell ref="E6:F7"/>
    <mergeCell ref="G6:H7"/>
    <mergeCell ref="I6:J7"/>
    <mergeCell ref="K6:L7"/>
    <mergeCell ref="M6:M7"/>
    <mergeCell ref="A10:C10"/>
    <mergeCell ref="D10:M10"/>
    <mergeCell ref="A11:C11"/>
    <mergeCell ref="D11:M11"/>
    <mergeCell ref="A4:C4"/>
    <mergeCell ref="D4:M4"/>
    <mergeCell ref="A5:B5"/>
    <mergeCell ref="C5:D5"/>
    <mergeCell ref="E5:F5"/>
    <mergeCell ref="G5:H5"/>
    <mergeCell ref="I5:J5"/>
    <mergeCell ref="K5:L5"/>
    <mergeCell ref="A1:C1"/>
    <mergeCell ref="D1:M1"/>
    <mergeCell ref="A2:C2"/>
    <mergeCell ref="D2:M2"/>
    <mergeCell ref="A3:C3"/>
    <mergeCell ref="D3: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54E94-8043-4383-A174-338BA762EC57}"/>
</file>

<file path=customXml/itemProps2.xml><?xml version="1.0" encoding="utf-8"?>
<ds:datastoreItem xmlns:ds="http://schemas.openxmlformats.org/officeDocument/2006/customXml" ds:itemID="{3794EDB0-75ED-4F34-8370-304349BB58D0}"/>
</file>

<file path=customXml/itemProps3.xml><?xml version="1.0" encoding="utf-8"?>
<ds:datastoreItem xmlns:ds="http://schemas.openxmlformats.org/officeDocument/2006/customXml" ds:itemID="{91C4BAF1-52DD-4381-BC51-70CA2BFCF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Luz Mery Rios Alzate</cp:lastModifiedBy>
  <cp:revision/>
  <dcterms:created xsi:type="dcterms:W3CDTF">2025-07-05T00:08:23Z</dcterms:created>
  <dcterms:modified xsi:type="dcterms:W3CDTF">2026-01-26T22:04:18Z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0x0101009AE00E38F6D3014A8F884FC2DDE00A5F</vt:lpwstr>
  </property>
  <property fmtid="{D5CDD505-2E9C-101B-9397-08002B2CF9AE}" pid="3" name="MediaServiceImageTags">
    <vt:lpwstr/>
  </property>
</Properties>
</file>