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2. Artefactos técnicos/1.2.2. Diseño detallado/1.2.2.6. Modelo entidad relación/"/>
    </mc:Choice>
  </mc:AlternateContent>
  <xr:revisionPtr revIDLastSave="1691" documentId="13_ncr:1_{DA4F7EDE-002B-447A-9232-E45CAE8BFCA8}" xr6:coauthVersionLast="47" xr6:coauthVersionMax="47" xr10:uidLastSave="{AF396863-3BC3-4608-9A97-75AAF1A80EE0}"/>
  <bookViews>
    <workbookView xWindow="-28920" yWindow="2415" windowWidth="29040" windowHeight="15720" tabRatio="505" firstSheet="3" xr2:uid="{59653BFD-5B7C-4315-9D96-3FD5833491E5}"/>
  </bookViews>
  <sheets>
    <sheet name="MER" sheetId="1" r:id="rId1"/>
    <sheet name="Observaciones" sheetId="39" r:id="rId2"/>
    <sheet name="Entidades" sheetId="2" r:id="rId3"/>
    <sheet name="Stock_sede" sheetId="40" r:id="rId4"/>
    <sheet name="Sede" sheetId="35" r:id="rId5"/>
    <sheet name="Pais" sheetId="6" r:id="rId6"/>
    <sheet name="Departamento" sheetId="9" r:id="rId7"/>
    <sheet name="Municipio" sheetId="8" r:id="rId8"/>
    <sheet name="Categoria" sheetId="7" r:id="rId9"/>
    <sheet name="Producto" sheetId="12" r:id="rId10"/>
    <sheet name="Estado_producto" sheetId="20" r:id="rId11"/>
    <sheet name="Venta" sheetId="17" r:id="rId12"/>
    <sheet name="Unidad_medida" sheetId="14" r:id="rId13"/>
    <sheet name="Detalle_Venta" sheetId="23" r:id="rId14"/>
    <sheet name="Estado Venta" sheetId="21" r:id="rId15"/>
    <sheet name="Pago" sheetId="18" r:id="rId16"/>
    <sheet name="Forma de pago" sheetId="19" r:id="rId17"/>
    <sheet name="Insumo" sheetId="16" r:id="rId18"/>
    <sheet name="Valores" sheetId="4" state="hidden" r:id="rId19"/>
    <sheet name="Abastecimiento" sheetId="15" r:id="rId20"/>
    <sheet name="Detalle_Abastecimiento" sheetId="34" r:id="rId21"/>
    <sheet name="Persona" sheetId="41" r:id="rId22"/>
    <sheet name="Usuario" sheetId="25" r:id="rId23"/>
    <sheet name="Estado_Usuario" sheetId="27" r:id="rId24"/>
    <sheet name="Rol" sheetId="24" r:id="rId25"/>
    <sheet name="Cliente" sheetId="22" r:id="rId26"/>
    <sheet name="Proveedor" sheetId="26" r:id="rId27"/>
    <sheet name="tipo_identificacion" sheetId="28" r:id="rId28"/>
    <sheet name="Envio" sheetId="29" r:id="rId29"/>
    <sheet name="Estado Envio" sheetId="30" r:id="rId30"/>
    <sheet name="Informacion de interes" sheetId="31" r:id="rId31"/>
    <sheet name="Detalle_Envio" sheetId="36" r:id="rId32"/>
    <sheet name="Produccion" sheetId="32" r:id="rId33"/>
    <sheet name="Detalle_Produccion" sheetId="33" r:id="rId34"/>
    <sheet name="Devolucion" sheetId="37" r:id="rId35"/>
    <sheet name="Detalle_Devolucion" sheetId="38" r:id="rId36"/>
  </sheets>
  <definedNames>
    <definedName name="_xlnm._FilterDatabase" localSheetId="19" hidden="1">Abastecimiento!$A$5:$A$6</definedName>
    <definedName name="_xlnm._FilterDatabase" localSheetId="8" hidden="1">Categoria!$A$5:$A$6</definedName>
    <definedName name="_xlnm._FilterDatabase" localSheetId="25" hidden="1">Cliente!$A$5:$A$6</definedName>
    <definedName name="_xlnm._FilterDatabase" localSheetId="6" hidden="1">Departamento!$A$5:$A$6</definedName>
    <definedName name="_xlnm._FilterDatabase" localSheetId="20" hidden="1">Detalle_Abastecimiento!$A$5:$A$6</definedName>
    <definedName name="_xlnm._FilterDatabase" localSheetId="35" hidden="1">Detalle_Devolucion!$A$5:$A$6</definedName>
    <definedName name="_xlnm._FilterDatabase" localSheetId="31" hidden="1">Detalle_Envio!$A$5:$A$6</definedName>
    <definedName name="_xlnm._FilterDatabase" localSheetId="33" hidden="1">Detalle_Produccion!$A$5:$A$6</definedName>
    <definedName name="_xlnm._FilterDatabase" localSheetId="13" hidden="1">Detalle_Venta!$A$5:$A$6</definedName>
    <definedName name="_xlnm._FilterDatabase" localSheetId="34" hidden="1">Devolucion!$A$5:$A$6</definedName>
    <definedName name="_xlnm._FilterDatabase" localSheetId="28" hidden="1">Envio!$A$5:$A$6</definedName>
    <definedName name="_xlnm._FilterDatabase" localSheetId="29" hidden="1">'Estado Envio'!$A$5:$A$6</definedName>
    <definedName name="_xlnm._FilterDatabase" localSheetId="14" hidden="1">'Estado Venta'!$A$5:$A$6</definedName>
    <definedName name="_xlnm._FilterDatabase" localSheetId="10" hidden="1">Estado_producto!$A$5:$A$6</definedName>
    <definedName name="_xlnm._FilterDatabase" localSheetId="23" hidden="1">Estado_Usuario!$A$5:$A$6</definedName>
    <definedName name="_xlnm._FilterDatabase" localSheetId="16" hidden="1">'Forma de pago'!$A$5:$A$6</definedName>
    <definedName name="_xlnm._FilterDatabase" localSheetId="30" hidden="1">'Informacion de interes'!$A$5:$A$6</definedName>
    <definedName name="_xlnm._FilterDatabase" localSheetId="17" hidden="1">Insumo!$A$5:$A$6</definedName>
    <definedName name="_xlnm._FilterDatabase" localSheetId="7" hidden="1">Municipio!$A$5:$A$6</definedName>
    <definedName name="_xlnm._FilterDatabase" localSheetId="15" hidden="1">Pago!$A$5:$A$6</definedName>
    <definedName name="_xlnm._FilterDatabase" localSheetId="5" hidden="1">Pais!$A$5:$A$6</definedName>
    <definedName name="_xlnm._FilterDatabase" localSheetId="21" hidden="1">Persona!$A$5:$A$6</definedName>
    <definedName name="_xlnm._FilterDatabase" localSheetId="32" hidden="1">Produccion!$A$5:$A$6</definedName>
    <definedName name="_xlnm._FilterDatabase" localSheetId="9" hidden="1">Producto!$A$5:$A$6</definedName>
    <definedName name="_xlnm._FilterDatabase" localSheetId="26" hidden="1">Proveedor!$A$5:$A$6</definedName>
    <definedName name="_xlnm._FilterDatabase" localSheetId="24" hidden="1">Rol!$A$5:$A$6</definedName>
    <definedName name="_xlnm._FilterDatabase" localSheetId="4" hidden="1">Sede!$A$5:$A$6</definedName>
    <definedName name="_xlnm._FilterDatabase" localSheetId="3" hidden="1">Stock_sede!$A$5:$A$6</definedName>
    <definedName name="_xlnm._FilterDatabase" localSheetId="27" hidden="1">tipo_identificacion!$A$5:$A$6</definedName>
    <definedName name="_xlnm._FilterDatabase" localSheetId="12" hidden="1">Unidad_medida!$A$5:$A$6</definedName>
    <definedName name="_xlnm._FilterDatabase" localSheetId="22" hidden="1">Usuario!$A$5:$A$6</definedName>
    <definedName name="_xlnm._FilterDatabase" localSheetId="11" hidden="1">Venta!$A$5:$A$6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0" l="1"/>
  <c r="B3" i="40"/>
  <c r="B3" i="36"/>
  <c r="B2" i="36"/>
  <c r="A2" i="41"/>
  <c r="B2" i="41"/>
  <c r="A3" i="41"/>
  <c r="B3" i="41"/>
  <c r="A3" i="40"/>
  <c r="A2" i="40"/>
  <c r="B3" i="38"/>
  <c r="B2" i="38"/>
  <c r="B3" i="37"/>
  <c r="B2" i="37"/>
  <c r="A2" i="36"/>
  <c r="A3" i="38"/>
  <c r="A2" i="38"/>
  <c r="A3" i="37"/>
  <c r="A2" i="37"/>
  <c r="A3" i="36"/>
  <c r="B2" i="8"/>
  <c r="B3" i="35"/>
  <c r="B2" i="35"/>
  <c r="A3" i="35"/>
  <c r="A2" i="35"/>
  <c r="B3" i="7"/>
  <c r="B3" i="32"/>
  <c r="B2" i="32"/>
  <c r="B3" i="31"/>
  <c r="B2" i="31"/>
  <c r="B3" i="30"/>
  <c r="B2" i="30"/>
  <c r="B3" i="29"/>
  <c r="B2" i="29"/>
  <c r="B3" i="33"/>
  <c r="B2" i="33"/>
  <c r="B3" i="34"/>
  <c r="B2" i="34"/>
  <c r="A3" i="34"/>
  <c r="A2" i="34"/>
  <c r="A3" i="33"/>
  <c r="A2" i="33"/>
  <c r="A3" i="32"/>
  <c r="A2" i="32"/>
  <c r="A3" i="31"/>
  <c r="A2" i="31"/>
  <c r="A3" i="30"/>
  <c r="A2" i="30"/>
  <c r="A3" i="29"/>
  <c r="A2" i="29"/>
  <c r="B3" i="28"/>
  <c r="B2" i="28"/>
  <c r="A3" i="28"/>
  <c r="A2" i="28"/>
  <c r="B2" i="26"/>
  <c r="B3" i="26"/>
  <c r="B3" i="27"/>
  <c r="B2" i="27"/>
  <c r="B3" i="25"/>
  <c r="B2" i="25"/>
  <c r="A3" i="27"/>
  <c r="A2" i="27"/>
  <c r="B3" i="24"/>
  <c r="B2" i="24"/>
  <c r="B3" i="23"/>
  <c r="B2" i="23"/>
  <c r="B3" i="22"/>
  <c r="B2" i="22"/>
  <c r="B3" i="15"/>
  <c r="B2" i="15"/>
  <c r="B3" i="16"/>
  <c r="B2" i="16"/>
  <c r="B3" i="19"/>
  <c r="B2" i="19"/>
  <c r="B3" i="18"/>
  <c r="B2" i="18"/>
  <c r="B3" i="21"/>
  <c r="B2" i="21"/>
  <c r="B3" i="17"/>
  <c r="B2" i="17"/>
  <c r="B3" i="20"/>
  <c r="A3" i="26"/>
  <c r="A2" i="26"/>
  <c r="A3" i="25"/>
  <c r="A2" i="25"/>
  <c r="A3" i="24"/>
  <c r="A2" i="24"/>
  <c r="A3" i="23"/>
  <c r="A2" i="23"/>
  <c r="A3" i="22"/>
  <c r="A2" i="22"/>
  <c r="B2" i="20"/>
  <c r="A3" i="21"/>
  <c r="A2" i="21"/>
  <c r="A3" i="20"/>
  <c r="A2" i="20"/>
  <c r="A3" i="19"/>
  <c r="A2" i="19"/>
  <c r="A3" i="18"/>
  <c r="A2" i="18"/>
  <c r="A3" i="17"/>
  <c r="A2" i="17"/>
  <c r="A3" i="16"/>
  <c r="A2" i="16"/>
  <c r="A3" i="15"/>
  <c r="A2" i="15"/>
  <c r="B3" i="14"/>
  <c r="B2" i="14"/>
  <c r="A3" i="14"/>
  <c r="A2" i="14"/>
  <c r="B3" i="12"/>
  <c r="A3" i="12"/>
  <c r="B2" i="12"/>
  <c r="A2" i="12"/>
  <c r="B2" i="7"/>
  <c r="B3" i="8"/>
  <c r="B3" i="9"/>
  <c r="B2" i="9"/>
  <c r="A3" i="9"/>
  <c r="A2" i="9"/>
  <c r="A3" i="8"/>
  <c r="A2" i="8"/>
  <c r="A3" i="7"/>
  <c r="A2" i="7"/>
  <c r="B2" i="6"/>
  <c r="B3" i="6"/>
  <c r="A3" i="6"/>
  <c r="A2" i="6"/>
</calcChain>
</file>

<file path=xl/sharedStrings.xml><?xml version="1.0" encoding="utf-8"?>
<sst xmlns="http://schemas.openxmlformats.org/spreadsheetml/2006/main" count="2813" uniqueCount="554">
  <si>
    <t>En esta hoja se ubica la imagen del modelo, asegurando que sea clara y legible</t>
  </si>
  <si>
    <t>MER</t>
  </si>
  <si>
    <t>No es necesario las relaciones de país y departamento con ciudad tiene</t>
  </si>
  <si>
    <t>Es necesario tener el estado del envió.   Ejemplo pink.</t>
  </si>
  <si>
    <t>Revisar los campos calculados</t>
  </si>
  <si>
    <t>En el insumo para el tema de inventarios</t>
  </si>
  <si>
    <t>Revisar unir las personas</t>
  </si>
  <si>
    <t>No entiendo los reportes...</t>
  </si>
  <si>
    <t>Entidad</t>
  </si>
  <si>
    <t>Descripción</t>
  </si>
  <si>
    <t>Pais</t>
  </si>
  <si>
    <t xml:space="preserve">Entidad que contiene la información de un pais al que pertenecen varios departamentos														</t>
  </si>
  <si>
    <t>Departamento</t>
  </si>
  <si>
    <t xml:space="preserve">Entidad que contiene la información de un departamento al que pertenecen varias ciudades.														</t>
  </si>
  <si>
    <t>Municipio</t>
  </si>
  <si>
    <t>Entidad que contiene la información de  cada uno de los municipios o ciudades</t>
  </si>
  <si>
    <t>Categoria</t>
  </si>
  <si>
    <t xml:space="preserve">Entidad que contiene la información de las categorias mediante la cual se agrupan a los productos según sus características y uso														</t>
  </si>
  <si>
    <t>Producto</t>
  </si>
  <si>
    <t xml:space="preserve">Entidad que contiene la información de cada producto que el negocio ofrece a sus clientes.														</t>
  </si>
  <si>
    <t>Unidad_Medida</t>
  </si>
  <si>
    <t xml:space="preserve">Entidad que contiene la información de cada unidad de medida que puede tener un producto	</t>
  </si>
  <si>
    <t>Estado_Producto</t>
  </si>
  <si>
    <t>Entidad que contiene la información de cada uno de los tipos de estados que puede tener un producto.</t>
  </si>
  <si>
    <t>Venta</t>
  </si>
  <si>
    <t>Entidad que contiene la información de la transaccion comercial en la que un cliente adquiere uno o mas productos o servicios a cambio de un pago</t>
  </si>
  <si>
    <t>Estado_Venta</t>
  </si>
  <si>
    <t xml:space="preserve">Entidad que contiene la información de  los diferentes Estados de venta	</t>
  </si>
  <si>
    <t>Pago</t>
  </si>
  <si>
    <t>Entidad que contiene la información de el pago a una venta</t>
  </si>
  <si>
    <t>Forma_Pago</t>
  </si>
  <si>
    <t>Entidad que contiene la información de las diferentes formas de pago</t>
  </si>
  <si>
    <t>Insumo</t>
  </si>
  <si>
    <t>Entidad que contiene la información de el  producto consumido para una producción</t>
  </si>
  <si>
    <t>Abastecimiento</t>
  </si>
  <si>
    <t>Entidad que contiene la información del Proceso y registro de la adquisición interna de insumos para producción. Documenta las órdenes de compra, fechas de entrega, cantidades solicitadas y precios que alimentaran el Inventario</t>
  </si>
  <si>
    <t>Produccion</t>
  </si>
  <si>
    <t>Entidad que contiene la información del Registro diario de bloques fabricados: cantidad producida, lote, fecha, insumos  y trabajadores responsables.</t>
  </si>
  <si>
    <t>Detalle_Venta</t>
  </si>
  <si>
    <t>Entidad que contiene la información del Detalle de productos vendidos por cada venta.</t>
  </si>
  <si>
    <t>Detalle_Producción</t>
  </si>
  <si>
    <t>Entidad que contiene la información de cada producción con los productos fabricados.</t>
  </si>
  <si>
    <t>Detalle_Abastecimiento</t>
  </si>
  <si>
    <t>Entidad que contiene la información de cada abastecimiento con los productos adquiridos.</t>
  </si>
  <si>
    <t>Usuario</t>
  </si>
  <si>
    <t>Entidad que contiene la información de Usuarios con acceso a la plataforma (Administrador , trabajador.)</t>
  </si>
  <si>
    <t>Estado_Usuario</t>
  </si>
  <si>
    <t>Entidad que contiene la información de cada uno de los estados que puede tener un Administrador o Trabajador.</t>
  </si>
  <si>
    <t>Rol</t>
  </si>
  <si>
    <t>Entidad que contiene la información de los diferentes roles (Administrador o Trabajador) que tendra un usuario dentro del sistema.</t>
  </si>
  <si>
    <t>informacion de interes</t>
  </si>
  <si>
    <t>Entidad que contiene la información de la información relevante sobre el perfil y finalidad del cliente en relación con los productos, incluyendo el uso previsto y su rol dentro del sector, como constructor, contratista, revendedor, entre otros</t>
  </si>
  <si>
    <t>Tipo identificación</t>
  </si>
  <si>
    <t>Entidad que contiene la información de cada uno de los tipos de identificación que puede tener un usuario.</t>
  </si>
  <si>
    <t>Envio</t>
  </si>
  <si>
    <t>Entidad que contiene la información del servicio de transportar los productos adquiridos por un cliente hacia un destino.</t>
  </si>
  <si>
    <t>Estado_Envio</t>
  </si>
  <si>
    <t>Entidad que contiene la información de cada estado de envio de una venta</t>
  </si>
  <si>
    <t>Cliente</t>
  </si>
  <si>
    <t>Entidad que contiene la información de cada Comprador de  bloques y materiales. Registra datos de contacto, histórico de pedidos, métodos de pago y preferencias de entrega. Puede interactuar con el portal para ver catálogo y solicitar atención.</t>
  </si>
  <si>
    <t>Sede</t>
  </si>
  <si>
    <t>Entidad que contiene la información de las diferentes sedes del negocio.</t>
  </si>
  <si>
    <t>Proveedor</t>
  </si>
  <si>
    <t>Entidad que contiene la información de las empresas o personas que suministran el abastecimiento del negocio.</t>
  </si>
  <si>
    <t>Devolucion</t>
  </si>
  <si>
    <t>Entidad que contiene la ingormación registrada de la devolución total o parcial de productos de una Venta, con su motivo y el ajuste de inventario correspondiente.</t>
  </si>
  <si>
    <t>Detalle_Devolucion</t>
  </si>
  <si>
    <t xml:space="preserve">Entidad que contiene la información del detalle de los productos regresados en una devolución </t>
  </si>
  <si>
    <t>Stock_sede</t>
  </si>
  <si>
    <t xml:space="preserve">Entidad que contiene la información de las cantidades por cada producto en las distintas sedes </t>
  </si>
  <si>
    <t>Detalle_Envio</t>
  </si>
  <si>
    <t>Entidad que contiene la informacion del detalle del envio, la fecha del estado</t>
  </si>
  <si>
    <t>Persona</t>
  </si>
  <si>
    <t>Entidad que contiene la informacion basica de una persona</t>
  </si>
  <si>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</si>
  <si>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</si>
  <si>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</si>
  <si>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</si>
  <si>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</si>
  <si>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</si>
  <si>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</si>
  <si>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</si>
  <si>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</si>
  <si>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primeria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</si>
  <si>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</si>
  <si>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</si>
  <si>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</si>
  <si>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</si>
  <si>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</si>
  <si>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</si>
  <si>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</si>
  <si>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</si>
  <si>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</si>
  <si>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</si>
  <si>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</si>
  <si>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</si>
  <si>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</si>
  <si>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</si>
  <si>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</si>
  <si>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>IdStock</t>
  </si>
  <si>
    <t>SERIAL</t>
  </si>
  <si>
    <t>SI</t>
  </si>
  <si>
    <t>NO</t>
  </si>
  <si>
    <t>pk_sede</t>
  </si>
  <si>
    <t>PK</t>
  </si>
  <si>
    <t>pk_Sede</t>
  </si>
  <si>
    <t>cod_sede</t>
  </si>
  <si>
    <t xml:space="preserve">Identificador único de sede
</t>
  </si>
  <si>
    <t>IdProducto</t>
  </si>
  <si>
    <t>INTEGER</t>
  </si>
  <si>
    <t>No</t>
  </si>
  <si>
    <t>producto</t>
  </si>
  <si>
    <t xml:space="preserve">producto asociado
</t>
  </si>
  <si>
    <t>IdSede</t>
  </si>
  <si>
    <t>sede</t>
  </si>
  <si>
    <t>sede asociada</t>
  </si>
  <si>
    <t>Existencias</t>
  </si>
  <si>
    <t>NUMERIC</t>
  </si>
  <si>
    <t>existencia</t>
  </si>
  <si>
    <t>cantidad de productos existentes</t>
  </si>
  <si>
    <t>ubiacación producto</t>
  </si>
  <si>
    <t>VARCHAR</t>
  </si>
  <si>
    <t>Si</t>
  </si>
  <si>
    <t>ubicación</t>
  </si>
  <si>
    <t>ubicación donde se encuentra el producto</t>
  </si>
  <si>
    <t>nombre</t>
  </si>
  <si>
    <t xml:space="preserve">Nombre de la sede
</t>
  </si>
  <si>
    <t>Direccion</t>
  </si>
  <si>
    <t>descripcion</t>
  </si>
  <si>
    <t>Descripción adicional (opcional)</t>
  </si>
  <si>
    <t>Active</t>
  </si>
  <si>
    <t>Boolean</t>
  </si>
  <si>
    <t>Estado</t>
  </si>
  <si>
    <t>Estado en el que se encuentra la sede</t>
  </si>
  <si>
    <t>Cod_Pais</t>
  </si>
  <si>
    <t>smallint</t>
  </si>
  <si>
    <t>pk_pais</t>
  </si>
  <si>
    <t>PRIMARY</t>
  </si>
  <si>
    <t>cod_pais</t>
  </si>
  <si>
    <t xml:space="preserve">Identificador único del país
</t>
  </si>
  <si>
    <t xml:space="preserve">Nombre del país
</t>
  </si>
  <si>
    <t>cod_departamento</t>
  </si>
  <si>
    <t>pk_departamento</t>
  </si>
  <si>
    <t>ASC</t>
  </si>
  <si>
    <t xml:space="preserve">cod_departamento	</t>
  </si>
  <si>
    <t xml:space="preserve">Identificador único del departamento
</t>
  </si>
  <si>
    <t xml:space="preserve">Nombre del departamento
</t>
  </si>
  <si>
    <t>id_pais</t>
  </si>
  <si>
    <t xml:space="preserve">cod_pais		</t>
  </si>
  <si>
    <t xml:space="preserve">Referencia a pais
</t>
  </si>
  <si>
    <t xml:space="preserve">id_municipio	</t>
  </si>
  <si>
    <t xml:space="preserve">pk_municipio	</t>
  </si>
  <si>
    <t>cod_municipio</t>
  </si>
  <si>
    <t xml:space="preserve">Identificador único del municipio
</t>
  </si>
  <si>
    <t xml:space="preserve">Nombre del muncipio
</t>
  </si>
  <si>
    <t>id_departamento</t>
  </si>
  <si>
    <t>departamento</t>
  </si>
  <si>
    <t xml:space="preserve">Referencia a departamento
</t>
  </si>
  <si>
    <t>id_categoria</t>
  </si>
  <si>
    <t>Integer</t>
  </si>
  <si>
    <t>pk_categoria</t>
  </si>
  <si>
    <t xml:space="preserve">Identificador de categoría
</t>
  </si>
  <si>
    <t>Nombre de la categoría</t>
  </si>
  <si>
    <t>Descripcion</t>
  </si>
  <si>
    <t>Descripcion de la categoria</t>
  </si>
  <si>
    <t>fecha_creacion</t>
  </si>
  <si>
    <t>DATE</t>
  </si>
  <si>
    <t>SÍ</t>
  </si>
  <si>
    <t>check_categoria_fecha_registro</t>
  </si>
  <si>
    <t>FechaRegistro</t>
  </si>
  <si>
    <t>Fecha en que se registro la categoria</t>
  </si>
  <si>
    <t>id_producto</t>
  </si>
  <si>
    <t>pk_producto</t>
  </si>
  <si>
    <t>Identificador del producto</t>
  </si>
  <si>
    <t>Nombre del producto</t>
  </si>
  <si>
    <t>Descripción del producto</t>
  </si>
  <si>
    <t>categoria</t>
  </si>
  <si>
    <t>fk_producto_categoria</t>
  </si>
  <si>
    <t>Categoría del producto</t>
  </si>
  <si>
    <t>id_estado</t>
  </si>
  <si>
    <t>estado_producto</t>
  </si>
  <si>
    <t>fk_producto_estado</t>
  </si>
  <si>
    <t>Estado del producto</t>
  </si>
  <si>
    <t>id_unidad</t>
  </si>
  <si>
    <t>unidad_medida</t>
  </si>
  <si>
    <t>fk_producto_unidad</t>
  </si>
  <si>
    <t>Unidad de medida del producto</t>
  </si>
  <si>
    <t>precio</t>
  </si>
  <si>
    <t>check_producto_precio</t>
  </si>
  <si>
    <t>Precio base del producto</t>
  </si>
  <si>
    <t>pk_estado_producto</t>
  </si>
  <si>
    <t>Identificador único de estado</t>
  </si>
  <si>
    <t>Nombre del estado</t>
  </si>
  <si>
    <t>id_venta</t>
  </si>
  <si>
    <t>venta_pk</t>
  </si>
  <si>
    <t>CódigoVenta</t>
  </si>
  <si>
    <t>Identificador único de la venta</t>
  </si>
  <si>
    <t>fecha_venta</t>
  </si>
  <si>
    <t>FechaVenta</t>
  </si>
  <si>
    <t>Fecha de la venta</t>
  </si>
  <si>
    <t>id_cliente</t>
  </si>
  <si>
    <t>cliente</t>
  </si>
  <si>
    <t>codigo_cliente</t>
  </si>
  <si>
    <t>FK</t>
  </si>
  <si>
    <t>fk_venta_id_cliente</t>
  </si>
  <si>
    <t>Cliente que realiza la compra</t>
  </si>
  <si>
    <t>total_venta</t>
  </si>
  <si>
    <t>check_venta_total_venta</t>
  </si>
  <si>
    <t>TotalVenta</t>
  </si>
  <si>
    <t>Monto total de la venta</t>
  </si>
  <si>
    <t>id_estado_venta</t>
  </si>
  <si>
    <t>estado_venta</t>
  </si>
  <si>
    <t>fk_venta_id_estado_venta</t>
  </si>
  <si>
    <t>EstadoVenta</t>
  </si>
  <si>
    <t>Estado actual de la venta</t>
  </si>
  <si>
    <t>id_trabajador</t>
  </si>
  <si>
    <t>Usuario(Rol = "Trabajador")</t>
  </si>
  <si>
    <t>id_usuario</t>
  </si>
  <si>
    <t>fk_venta_trabajador</t>
  </si>
  <si>
    <t>Trabajador que registró la venta</t>
  </si>
  <si>
    <t>pk_unidad_medida</t>
  </si>
  <si>
    <t>Identificador de la unidad</t>
  </si>
  <si>
    <t>Nombre de la unidad</t>
  </si>
  <si>
    <t>Sigla</t>
  </si>
  <si>
    <t>Sigla de la unidad</t>
  </si>
  <si>
    <t>id_detalle_venta</t>
  </si>
  <si>
    <t>Identificador único del detalle de venta</t>
  </si>
  <si>
    <t>venta</t>
  </si>
  <si>
    <t>detalle_venta_unico</t>
  </si>
  <si>
    <t>fk_detalle_venta_id_venta</t>
  </si>
  <si>
    <t>Venta asociada (llave foránea a venta)</t>
  </si>
  <si>
    <t>fk_detalle_venta_id_producto</t>
  </si>
  <si>
    <t>Producto vendido (llave foránea a producto)</t>
  </si>
  <si>
    <t>cantidad</t>
  </si>
  <si>
    <t>check_detalle_venta_cantidad</t>
  </si>
  <si>
    <t>Cantidad de productos vendidos</t>
  </si>
  <si>
    <t>precio_unitario</t>
  </si>
  <si>
    <t>check_detalle_venta_precio_unitario</t>
  </si>
  <si>
    <t>Precio unitario del producto en la venta</t>
  </si>
  <si>
    <t>subtotal</t>
  </si>
  <si>
    <t>check_detalle_venta_subtotal</t>
  </si>
  <si>
    <t>Subtotal por línea de producto (cantidad * precio)</t>
  </si>
  <si>
    <t>subtotal_iva</t>
  </si>
  <si>
    <t>check_detalle_venta_subtotal+iva</t>
  </si>
  <si>
    <t>Subtotal por línea de producto (cantidad * precio * iva)</t>
  </si>
  <si>
    <t>pk_estado_venta</t>
  </si>
  <si>
    <t>Identificador único del estado de la venta</t>
  </si>
  <si>
    <t>uq_estado_venta_nombre</t>
  </si>
  <si>
    <t>BTREE</t>
  </si>
  <si>
    <t>idx_estado_venta_nombre</t>
  </si>
  <si>
    <t>Nombre del estado (Ej: Pagada, Pendiente)</t>
  </si>
  <si>
    <t>id_pago</t>
  </si>
  <si>
    <t>pk_pago</t>
  </si>
  <si>
    <t>Identificador único del pago</t>
  </si>
  <si>
    <t>fk_id_venta</t>
  </si>
  <si>
    <t>Venta a la que se asocia este pago</t>
  </si>
  <si>
    <t>monto</t>
  </si>
  <si>
    <t>check_pago_monto</t>
  </si>
  <si>
    <t>Monto</t>
  </si>
  <si>
    <t>Valor pagado</t>
  </si>
  <si>
    <t>id_forma_pago</t>
  </si>
  <si>
    <t>forma_pago</t>
  </si>
  <si>
    <t>fkx_pago_forma_pago</t>
  </si>
  <si>
    <t>Forma de pago utilizada (efectivo, tarjeta, etc.)</t>
  </si>
  <si>
    <t>observaciones</t>
  </si>
  <si>
    <t>Comentarios adicionales al pago</t>
  </si>
  <si>
    <t>usuario (rol=trabajador)</t>
  </si>
  <si>
    <t>fk_id_usuario</t>
  </si>
  <si>
    <t>Trabajador que registra el pago</t>
  </si>
  <si>
    <t>fecha_pago</t>
  </si>
  <si>
    <t>check_pago_fecha_pago</t>
  </si>
  <si>
    <t>FechaPago</t>
  </si>
  <si>
    <t>Fecha en la que se realizó el pago</t>
  </si>
  <si>
    <t>pk_forma_pago</t>
  </si>
  <si>
    <t>Identificador único de la forma de pago</t>
  </si>
  <si>
    <t>uq_forma_pago_nombre</t>
  </si>
  <si>
    <t>idx_forma_pago_nombre</t>
  </si>
  <si>
    <t>Nombre de la forma de pago (Ej: Efectivo)</t>
  </si>
  <si>
    <t>id_insumo</t>
  </si>
  <si>
    <t>insumo_id_unique</t>
  </si>
  <si>
    <t>pk_insumo_id</t>
  </si>
  <si>
    <t>Identificador único del insumo</t>
  </si>
  <si>
    <t>fk_insumo_producto</t>
  </si>
  <si>
    <t>Producto registrado en el insumo</t>
  </si>
  <si>
    <t>id_produccion</t>
  </si>
  <si>
    <t>produccion</t>
  </si>
  <si>
    <t>fk_insumo_produccion</t>
  </si>
  <si>
    <t>Producción asociada al insumo</t>
  </si>
  <si>
    <t>cantidad_usada</t>
  </si>
  <si>
    <t>ck_cantidad_usada_mayor_cero</t>
  </si>
  <si>
    <t>Cantidad utilizada en la producción</t>
  </si>
  <si>
    <t>Fecha de registro del insumo</t>
  </si>
  <si>
    <t>Relación</t>
  </si>
  <si>
    <t>Tipo relación</t>
  </si>
  <si>
    <t>TipoIndice</t>
  </si>
  <si>
    <t>Necesita de</t>
  </si>
  <si>
    <t>Asociación</t>
  </si>
  <si>
    <t>Es usada por</t>
  </si>
  <si>
    <t>DESC</t>
  </si>
  <si>
    <t>id_abastecimiento</t>
  </si>
  <si>
    <t>abastecimiento_pk</t>
  </si>
  <si>
    <t>CódigoAbastecimiento</t>
  </si>
  <si>
    <t>Identificador único del abastecimiento</t>
  </si>
  <si>
    <t>id_proveedor</t>
  </si>
  <si>
    <t>proveedor</t>
  </si>
  <si>
    <t>codigo_proveedor</t>
  </si>
  <si>
    <t>fk_abast_proveedor</t>
  </si>
  <si>
    <t>Proveedor asociado al abastecimiento</t>
  </si>
  <si>
    <t>nro_factura</t>
  </si>
  <si>
    <t>check_abast_nro_factura</t>
  </si>
  <si>
    <t>NroFactura</t>
  </si>
  <si>
    <t xml:space="preserve">Número de factura del proveedor </t>
  </si>
  <si>
    <t>fecha_registro</t>
  </si>
  <si>
    <t>check_abast_fecha_registro</t>
  </si>
  <si>
    <t>Fecha en que se realizó el abastecimiento</t>
  </si>
  <si>
    <t>total_Abastecimiento</t>
  </si>
  <si>
    <t>check_venta_total_Abastecimiento</t>
  </si>
  <si>
    <t>TotalAbastecimiento</t>
  </si>
  <si>
    <t>Monto total del abastecimiento</t>
  </si>
  <si>
    <t>estado</t>
  </si>
  <si>
    <t>BOOLEAN</t>
  </si>
  <si>
    <t>Estado Abastecimiento</t>
  </si>
  <si>
    <t>Estado que se encuentra el abastecimiento</t>
  </si>
  <si>
    <t>id_detalle_abastecimiento</t>
  </si>
  <si>
    <t>detalle_abast_id_unique</t>
  </si>
  <si>
    <t>pk_detalle_abastacimiento_id</t>
  </si>
  <si>
    <t>id_detalle_abast</t>
  </si>
  <si>
    <t>Identificador único del detalle de abastecimiento</t>
  </si>
  <si>
    <t>abastecimiento</t>
  </si>
  <si>
    <t>fk_detalle_abast_abastecimiento</t>
  </si>
  <si>
    <t>Relaciona con el abastecimiento principal</t>
  </si>
  <si>
    <t>fk_detalle_abast_producto</t>
  </si>
  <si>
    <t>Producto abastecido</t>
  </si>
  <si>
    <t>ck_cantidad_detalle_abast</t>
  </si>
  <si>
    <t>Cantidad del producto abastecido</t>
  </si>
  <si>
    <t>precio_compra</t>
  </si>
  <si>
    <t>DECIMAL</t>
  </si>
  <si>
    <t>ck_precio_detalle_abast</t>
  </si>
  <si>
    <t>Precio por unidad del producto</t>
  </si>
  <si>
    <t>check_detalle_abastecimiento_subtotal</t>
  </si>
  <si>
    <t>check_detalle_abastecimiento_subtotal+iva</t>
  </si>
  <si>
    <t>idPersona</t>
  </si>
  <si>
    <t>pk_usuario</t>
  </si>
  <si>
    <t>pk_persona</t>
  </si>
  <si>
    <t>Identificador de la persona</t>
  </si>
  <si>
    <t>primer_nombre</t>
  </si>
  <si>
    <t>check_nombre_not_empty</t>
  </si>
  <si>
    <t>p_nombre</t>
  </si>
  <si>
    <t>Primer nombre</t>
  </si>
  <si>
    <t>segundo_nombre</t>
  </si>
  <si>
    <t>s_nombre</t>
  </si>
  <si>
    <t>Segundo nombre</t>
  </si>
  <si>
    <t>primer_apellido</t>
  </si>
  <si>
    <t>check_apellido_not_empty</t>
  </si>
  <si>
    <t>p_apellido</t>
  </si>
  <si>
    <t>Primer apellido</t>
  </si>
  <si>
    <t>segundo_apellido</t>
  </si>
  <si>
    <t>s_apellido</t>
  </si>
  <si>
    <t>Segundo apellido</t>
  </si>
  <si>
    <t>tipo_identificacion</t>
  </si>
  <si>
    <t>id_tipo_identificacion</t>
  </si>
  <si>
    <t>tipo_ident</t>
  </si>
  <si>
    <t>Tipo de identificación</t>
  </si>
  <si>
    <t>numero_identificacion</t>
  </si>
  <si>
    <t>uq_persona_numident</t>
  </si>
  <si>
    <t>UNIQUE</t>
  </si>
  <si>
    <t>idx_persona_numident</t>
  </si>
  <si>
    <t>num_ident</t>
  </si>
  <si>
    <t>Número de identificación</t>
  </si>
  <si>
    <t>celular</t>
  </si>
  <si>
    <t>Celular</t>
  </si>
  <si>
    <t>correo</t>
  </si>
  <si>
    <t>correo_unq</t>
  </si>
  <si>
    <t>check_correo_formato</t>
  </si>
  <si>
    <t>idx_Correo</t>
  </si>
  <si>
    <t>Correo</t>
  </si>
  <si>
    <t>Correo electrónico único</t>
  </si>
  <si>
    <t>f_creacion</t>
  </si>
  <si>
    <t>Fecha de creación</t>
  </si>
  <si>
    <t>Identificador de la persona Usuario</t>
  </si>
  <si>
    <t>usuario</t>
  </si>
  <si>
    <t>uq_usuario</t>
  </si>
  <si>
    <t>check_usuario_not_empty</t>
  </si>
  <si>
    <t>idx_usuario_usuario</t>
  </si>
  <si>
    <t>Nombre de usuario</t>
  </si>
  <si>
    <t>contrasena</t>
  </si>
  <si>
    <t>check_contrasena_not_empty</t>
  </si>
  <si>
    <t>Contraseña (encriptada)</t>
  </si>
  <si>
    <t>id_estado_usuario</t>
  </si>
  <si>
    <t>estado_usuario</t>
  </si>
  <si>
    <t>Estado del usuario</t>
  </si>
  <si>
    <t>id_rol</t>
  </si>
  <si>
    <t>rol</t>
  </si>
  <si>
    <t>Rol del usuario</t>
  </si>
  <si>
    <t>id_sede</t>
  </si>
  <si>
    <t>Sede del negocio</t>
  </si>
  <si>
    <t>pk_estado_usuario</t>
  </si>
  <si>
    <t>Identificador del estado del usuario</t>
  </si>
  <si>
    <t>uq_estado_usuario_nombre</t>
  </si>
  <si>
    <t>idx_estado_usuario_nombre</t>
  </si>
  <si>
    <t>Nombre del estado (Activo, Vacaciones...)</t>
  </si>
  <si>
    <t>pk_rol</t>
  </si>
  <si>
    <t>Identificador único del rol</t>
  </si>
  <si>
    <t>uq_rol_nombre</t>
  </si>
  <si>
    <t>idx_rol_nombre</t>
  </si>
  <si>
    <t>Nombre del rol (ej: Administrador, Trabajador)</t>
  </si>
  <si>
    <t>IdPersona</t>
  </si>
  <si>
    <t>pk_cliente</t>
  </si>
  <si>
    <t>Identificador de la persona Cliente</t>
  </si>
  <si>
    <t>informacion_interes</t>
  </si>
  <si>
    <t>id_info_interes</t>
  </si>
  <si>
    <t>Relación a información de interés (Opcional)</t>
  </si>
  <si>
    <t>Serial</t>
  </si>
  <si>
    <t>Sí</t>
  </si>
  <si>
    <t>proveedor_pk</t>
  </si>
  <si>
    <t>pk_proveedor</t>
  </si>
  <si>
    <t>IdProveedor</t>
  </si>
  <si>
    <t>Identificador único de la persona Proveedor</t>
  </si>
  <si>
    <t>tipo_proveedor</t>
  </si>
  <si>
    <t>check_tipo_proveedor</t>
  </si>
  <si>
    <t>TipoProveedor</t>
  </si>
  <si>
    <t>Persona Natural' o 'Persona Jurídica'</t>
  </si>
  <si>
    <t>razon_social</t>
  </si>
  <si>
    <t>Condicional*</t>
  </si>
  <si>
    <t>RazonSocial</t>
  </si>
  <si>
    <t>Nombre legal de la empresa (si es persona jurídica)</t>
  </si>
  <si>
    <t>representante_legal</t>
  </si>
  <si>
    <t>Opcional**</t>
  </si>
  <si>
    <t>RepresentanteLegal</t>
  </si>
  <si>
    <t>Solo para personas jurídicas</t>
  </si>
  <si>
    <t>activo</t>
  </si>
  <si>
    <t>Activo</t>
  </si>
  <si>
    <t>Indica si el proveedor está habilitado (true/false)</t>
  </si>
  <si>
    <t>tipo_identificacion_id_unique</t>
  </si>
  <si>
    <t>pk_tipo_identificacion_id</t>
  </si>
  <si>
    <t>id_tipo_ident</t>
  </si>
  <si>
    <t>Identificador único del tipo de identificación</t>
  </si>
  <si>
    <t>sigla</t>
  </si>
  <si>
    <t>CHAR</t>
  </si>
  <si>
    <t>tipo_identificacion_sigla_unique</t>
  </si>
  <si>
    <t>ck_sigla_formato</t>
  </si>
  <si>
    <t>IDX</t>
  </si>
  <si>
    <t>idx_tipo_identificacion_sigla</t>
  </si>
  <si>
    <t>Abreviatura (CC, NIT, CE, TI, PAS)</t>
  </si>
  <si>
    <t>Nombre completo del tipo de identificación</t>
  </si>
  <si>
    <t>id_envio</t>
  </si>
  <si>
    <t>pk_envio_id</t>
  </si>
  <si>
    <t>Identificador único del envío</t>
  </si>
  <si>
    <t>Venta a la que se asocia este envio</t>
  </si>
  <si>
    <t>id_estado_envio</t>
  </si>
  <si>
    <t>estado_envio</t>
  </si>
  <si>
    <t>fk_envio_estado_envio</t>
  </si>
  <si>
    <t>Estado actual del envío</t>
  </si>
  <si>
    <t>id_municipio</t>
  </si>
  <si>
    <t>municipio</t>
  </si>
  <si>
    <t>fk_envio_municipio</t>
  </si>
  <si>
    <t>Municipio de destino</t>
  </si>
  <si>
    <t>fecha_envio</t>
  </si>
  <si>
    <t>ck_fecha_envio_valida</t>
  </si>
  <si>
    <t>idx_fecha_envio</t>
  </si>
  <si>
    <t>Fecha del envío</t>
  </si>
  <si>
    <t>valor_envio</t>
  </si>
  <si>
    <t>ck_valor_envio_mayor_cero</t>
  </si>
  <si>
    <t>Valor del envío</t>
  </si>
  <si>
    <t>placa_vehiculo</t>
  </si>
  <si>
    <t>Placa del vehículo asignado al envío</t>
  </si>
  <si>
    <t>Comentarios adicionales al envío</t>
  </si>
  <si>
    <t>pk_estado_envio_id</t>
  </si>
  <si>
    <t>Identificador único del estado de envío</t>
  </si>
  <si>
    <t>estado_envio_nombre_unique</t>
  </si>
  <si>
    <t>idx_estado_envio_nombre</t>
  </si>
  <si>
    <t>Nombre del estado (Ej: Pendiente, Entregado)</t>
  </si>
  <si>
    <t>pk_info_interes_id</t>
  </si>
  <si>
    <t>Identificador único del registro de interés</t>
  </si>
  <si>
    <t>actividad_realizada</t>
  </si>
  <si>
    <t>Actividad principal del cliente (constructor, etc)</t>
  </si>
  <si>
    <t>uso_material</t>
  </si>
  <si>
    <t>Uso previsto del material (construcción, reventa, etc)</t>
  </si>
  <si>
    <t>Id_detalle_envio</t>
  </si>
  <si>
    <t>pk_detalle_evnio_id</t>
  </si>
  <si>
    <t>pk_detalle_envio_id</t>
  </si>
  <si>
    <t>Identificador único del de talle del envio</t>
  </si>
  <si>
    <t>Id_envio</t>
  </si>
  <si>
    <t xml:space="preserve">Relación al envio </t>
  </si>
  <si>
    <t>Relación al estado envio</t>
  </si>
  <si>
    <t>Fecha_envio</t>
  </si>
  <si>
    <t>ck_fecha_detalle_envio_valida</t>
  </si>
  <si>
    <t xml:space="preserve">Fechan en la que se modifico el estado del envio </t>
  </si>
  <si>
    <t>pk_produccion_id</t>
  </si>
  <si>
    <t>Identificador único de la producción</t>
  </si>
  <si>
    <t>fecha_produccion</t>
  </si>
  <si>
    <t>ck_fecha_produccion_valida</t>
  </si>
  <si>
    <t>idx_fecha_produccion</t>
  </si>
  <si>
    <t>Fecha en la que se registra la producción</t>
  </si>
  <si>
    <t>fk_produccion_trabajador</t>
  </si>
  <si>
    <t>Trabajador que registró la producción</t>
  </si>
  <si>
    <t>Fecha_modificacion</t>
  </si>
  <si>
    <t>Fecha en la que se Modifica la producción</t>
  </si>
  <si>
    <t>Fecha_registro</t>
  </si>
  <si>
    <t>Fecha en la que se registra la producción Real</t>
  </si>
  <si>
    <t>id_detalle_prod</t>
  </si>
  <si>
    <t>detalle_prod_id_unique</t>
  </si>
  <si>
    <t>pk_detalle_prod_id</t>
  </si>
  <si>
    <t>Identificador único del detalle de producción</t>
  </si>
  <si>
    <t>fk_detalle_prod_produccion</t>
  </si>
  <si>
    <t>Relaciona con la producción principal</t>
  </si>
  <si>
    <t>fk_detalle_prod_producto</t>
  </si>
  <si>
    <t>Producto fabricado</t>
  </si>
  <si>
    <t>cantidad_fabricada</t>
  </si>
  <si>
    <t>ck_cantidad_detalle_prod</t>
  </si>
  <si>
    <t>Cantidad del producto fabricado</t>
  </si>
  <si>
    <t>tablas_producidas</t>
  </si>
  <si>
    <t>ck_tablas_producidas_mayor_cero</t>
  </si>
  <si>
    <t>Cantidad de tablas producidas (si aplica)</t>
  </si>
  <si>
    <t>Cantidad_defectuosas</t>
  </si>
  <si>
    <t>ck_cantidad_detalle_Defec</t>
  </si>
  <si>
    <t>cantidad_defectuosas</t>
  </si>
  <si>
    <t>Cantidad del producto fabricado que fue defectuoso</t>
  </si>
  <si>
    <t>id_Devolucion</t>
  </si>
  <si>
    <t>pk_devolucion_id</t>
  </si>
  <si>
    <t>id_devolucion</t>
  </si>
  <si>
    <t>Identificador único de la devolucion</t>
  </si>
  <si>
    <t>fecha_Devolucion</t>
  </si>
  <si>
    <t>ck_fecha_devolucion_valida</t>
  </si>
  <si>
    <t>idx_fecha_devolucion</t>
  </si>
  <si>
    <t>fecha_devolucion</t>
  </si>
  <si>
    <t>Fecha en la que se registro la devolución</t>
  </si>
  <si>
    <t>fk_devolucion_trabajador</t>
  </si>
  <si>
    <t>Trabajador que registró la devolución</t>
  </si>
  <si>
    <t>fk_detalle_dev_producto</t>
  </si>
  <si>
    <t>Productos asociados (llave foránea a producto)</t>
  </si>
  <si>
    <t>fk_detalle_dev_cliente</t>
  </si>
  <si>
    <t>Cliente asociado (llave foránea a cliente)</t>
  </si>
  <si>
    <t>Fecha en la que se Modifica la devolución</t>
  </si>
  <si>
    <t>Observaciones</t>
  </si>
  <si>
    <t>Varchar</t>
  </si>
  <si>
    <t>Observaciones de la devolucion</t>
  </si>
  <si>
    <t>id_detalle_devolucion</t>
  </si>
  <si>
    <t>detalle_Cliente_id_unique</t>
  </si>
  <si>
    <t>pk_detalle_dev_id</t>
  </si>
  <si>
    <t>id_detalle_devo</t>
  </si>
  <si>
    <t>Identificador único del detalle de devolucion</t>
  </si>
  <si>
    <t>fk_detalle_dev_devolucion</t>
  </si>
  <si>
    <t>Relaciona con la devolucion principal</t>
  </si>
  <si>
    <t>fk_detalle_dev_venta</t>
  </si>
  <si>
    <t>precio_venta_producto</t>
  </si>
  <si>
    <t>check_detalle_precio_venta_producto</t>
  </si>
  <si>
    <t>Precio unitario del producto de una venta</t>
  </si>
  <si>
    <t>Cantidad_devolucion</t>
  </si>
  <si>
    <t>ck_cantidad_devolucion_mayor_cero</t>
  </si>
  <si>
    <t>Cantidad_Devolucion</t>
  </si>
  <si>
    <t>Cantidad que se realizo en la devolucion de una venta</t>
  </si>
  <si>
    <t>Total_Devolucion</t>
  </si>
  <si>
    <t>Monto total de la suma del valor de los productos devueltos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</si>
</sst>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36"/>
      <color theme="10"/>
      <name val="Calibri Light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6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0" xfId="0" quotePrefix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/>
    <xf numFmtId="0" fontId="0" fillId="0" borderId="24" xfId="0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7" xfId="0" applyBorder="1" applyAlignment="1">
      <alignment vertical="center"/>
    </xf>
    <xf numFmtId="0" fontId="0" fillId="0" borderId="17" xfId="0" applyBorder="1"/>
    <xf numFmtId="0" fontId="0" fillId="0" borderId="28" xfId="0" applyBorder="1" applyAlignment="1">
      <alignment vertical="center"/>
    </xf>
    <xf numFmtId="0" fontId="5" fillId="5" borderId="5" xfId="1" applyFont="1" applyFill="1" applyBorder="1"/>
    <xf numFmtId="0" fontId="5" fillId="5" borderId="15" xfId="1" applyFont="1" applyFill="1" applyBorder="1"/>
    <xf numFmtId="0" fontId="5" fillId="5" borderId="17" xfId="1" applyFont="1" applyFill="1" applyBorder="1"/>
    <xf numFmtId="0" fontId="5" fillId="5" borderId="16" xfId="1" applyFont="1" applyFill="1" applyBorder="1"/>
    <xf numFmtId="0" fontId="5" fillId="5" borderId="0" xfId="1" applyFont="1" applyFill="1"/>
    <xf numFmtId="0" fontId="5" fillId="5" borderId="12" xfId="1" applyFont="1" applyFill="1" applyBorder="1"/>
    <xf numFmtId="0" fontId="5" fillId="5" borderId="14" xfId="1" applyFont="1" applyFill="1" applyBorder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29" xfId="0" applyBorder="1" applyAlignment="1">
      <alignment vertical="center"/>
    </xf>
    <xf numFmtId="0" fontId="5" fillId="5" borderId="0" xfId="2" applyFont="1" applyFill="1"/>
    <xf numFmtId="0" fontId="6" fillId="5" borderId="0" xfId="0" applyFont="1" applyFill="1"/>
    <xf numFmtId="0" fontId="6" fillId="0" borderId="6" xfId="0" applyFont="1" applyBorder="1"/>
    <xf numFmtId="0" fontId="1" fillId="2" borderId="3" xfId="0" applyFont="1" applyFill="1" applyBorder="1" applyAlignment="1">
      <alignment horizontal="center" vertical="center"/>
    </xf>
    <xf numFmtId="0" fontId="2" fillId="0" borderId="7" xfId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7" xfId="2" applyBorder="1" applyAlignment="1">
      <alignment horizontal="left" vertical="center"/>
    </xf>
    <xf numFmtId="0" fontId="7" fillId="4" borderId="0" xfId="1" applyFont="1" applyFill="1" applyAlignment="1">
      <alignment horizont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15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E82F21-0DB7-9B3B-6B94-530F8C0E3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92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conet.sharepoint.com/sites/ProyectodegradoBloquera/Shared%20Documents/General/Estructura-Plantillas%20trabajos%20de%20grado/1.%20Artefactos%20proyecto/1.2.%20Artefactos%20t%C3%A9cnicos/1.2.2.%20Dise%C3%B1o%20detallado/1.2.2.6.%20Modelo%20entidad%20relaci%C3%B3n/MER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2:L7"/>
  <sheetViews>
    <sheetView tabSelected="1" topLeftCell="K1" workbookViewId="0">
      <selection activeCell="S6" sqref="S6"/>
    </sheetView>
  </sheetViews>
  <sheetFormatPr defaultColWidth="11.42578125" defaultRowHeight="15"/>
  <cols>
    <col min="1" max="1" width="24.28515625" style="9" bestFit="1" customWidth="1"/>
    <col min="2" max="11" width="11.42578125" style="9"/>
    <col min="12" max="12" width="38.140625" style="9" customWidth="1"/>
    <col min="13" max="16384" width="11.42578125" style="9"/>
  </cols>
  <sheetData>
    <row r="2" spans="1:12">
      <c r="A2" s="9" t="s">
        <v>0</v>
      </c>
    </row>
    <row r="5" spans="1:12" ht="18.75" customHeight="1">
      <c r="L5" s="66" t="s">
        <v>1</v>
      </c>
    </row>
    <row r="6" spans="1:12">
      <c r="L6" s="66"/>
    </row>
    <row r="7" spans="1:12">
      <c r="L7" s="66"/>
    </row>
  </sheetData>
  <mergeCells count="1">
    <mergeCell ref="L5:L7"/>
  </mergeCells>
  <hyperlinks>
    <hyperlink ref="L5" r:id="rId1" xr:uid="{76FF66C4-BDBD-45D3-8F3E-B6EA4C43AB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59DF-C857-4600-A87E-41E850094F83}">
  <dimension ref="I4:I9"/>
  <sheetViews>
    <sheetView workbookViewId="0">
      <selection activeCell="I10" sqref="I10"/>
    </sheetView>
  </sheetViews>
  <sheetFormatPr defaultColWidth="9.140625" defaultRowHeight="15"/>
  <sheetData>
    <row r="4" spans="9:9">
      <c r="I4" t="s">
        <v>2</v>
      </c>
    </row>
    <row r="5" spans="9:9">
      <c r="I5" t="s">
        <v>3</v>
      </c>
    </row>
    <row r="6" spans="9:9">
      <c r="I6" t="s">
        <v>4</v>
      </c>
    </row>
    <row r="7" spans="9:9">
      <c r="I7" t="s">
        <v>5</v>
      </c>
    </row>
    <row r="8" spans="9:9">
      <c r="I8" t="s">
        <v>6</v>
      </c>
    </row>
    <row r="9" spans="9:9">
      <c r="I9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B33"/>
  <sheetViews>
    <sheetView workbookViewId="0">
      <selection activeCell="B5" activeCellId="1" sqref="B31 B5"/>
    </sheetView>
  </sheetViews>
  <sheetFormatPr defaultColWidth="11.42578125" defaultRowHeight="15"/>
  <cols>
    <col min="1" max="1" width="37.85546875" customWidth="1"/>
    <col min="2" max="2" width="210.42578125" customWidth="1"/>
  </cols>
  <sheetData>
    <row r="1" spans="1:2">
      <c r="A1" s="11" t="s">
        <v>8</v>
      </c>
      <c r="B1" s="12" t="s">
        <v>9</v>
      </c>
    </row>
    <row r="2" spans="1:2">
      <c r="A2" s="35" t="s">
        <v>10</v>
      </c>
      <c r="B2" s="17" t="s">
        <v>11</v>
      </c>
    </row>
    <row r="3" spans="1:2">
      <c r="A3" s="35" t="s">
        <v>12</v>
      </c>
      <c r="B3" s="10" t="s">
        <v>13</v>
      </c>
    </row>
    <row r="4" spans="1:2">
      <c r="A4" s="35" t="s">
        <v>14</v>
      </c>
      <c r="B4" s="17" t="s">
        <v>15</v>
      </c>
    </row>
    <row r="5" spans="1:2">
      <c r="A5" s="35" t="s">
        <v>16</v>
      </c>
      <c r="B5" s="48" t="s">
        <v>17</v>
      </c>
    </row>
    <row r="6" spans="1:2">
      <c r="A6" s="35" t="s">
        <v>18</v>
      </c>
      <c r="B6" s="10" t="s">
        <v>19</v>
      </c>
    </row>
    <row r="7" spans="1:2">
      <c r="A7" s="35" t="s">
        <v>20</v>
      </c>
      <c r="B7" s="10" t="s">
        <v>21</v>
      </c>
    </row>
    <row r="8" spans="1:2">
      <c r="A8" s="35" t="s">
        <v>22</v>
      </c>
      <c r="B8" s="10" t="s">
        <v>23</v>
      </c>
    </row>
    <row r="9" spans="1:2">
      <c r="A9" s="35" t="s">
        <v>24</v>
      </c>
      <c r="B9" s="10" t="s">
        <v>25</v>
      </c>
    </row>
    <row r="10" spans="1:2">
      <c r="A10" s="35" t="s">
        <v>26</v>
      </c>
      <c r="B10" s="10" t="s">
        <v>27</v>
      </c>
    </row>
    <row r="11" spans="1:2">
      <c r="A11" s="35" t="s">
        <v>28</v>
      </c>
      <c r="B11" s="10" t="s">
        <v>29</v>
      </c>
    </row>
    <row r="12" spans="1:2">
      <c r="A12" s="35" t="s">
        <v>30</v>
      </c>
      <c r="B12" s="10" t="s">
        <v>31</v>
      </c>
    </row>
    <row r="13" spans="1:2">
      <c r="A13" s="35" t="s">
        <v>32</v>
      </c>
      <c r="B13" s="10" t="s">
        <v>33</v>
      </c>
    </row>
    <row r="14" spans="1:2">
      <c r="A14" s="35" t="s">
        <v>34</v>
      </c>
      <c r="B14" s="10" t="s">
        <v>35</v>
      </c>
    </row>
    <row r="15" spans="1:2">
      <c r="A15" s="35" t="s">
        <v>36</v>
      </c>
      <c r="B15" s="10" t="s">
        <v>37</v>
      </c>
    </row>
    <row r="16" spans="1:2">
      <c r="A16" s="41" t="s">
        <v>38</v>
      </c>
      <c r="B16" s="14" t="s">
        <v>39</v>
      </c>
    </row>
    <row r="17" spans="1:2">
      <c r="A17" s="41" t="s">
        <v>40</v>
      </c>
      <c r="B17" s="14" t="s">
        <v>41</v>
      </c>
    </row>
    <row r="18" spans="1:2">
      <c r="A18" s="41" t="s">
        <v>42</v>
      </c>
      <c r="B18" s="14" t="s">
        <v>43</v>
      </c>
    </row>
    <row r="19" spans="1:2">
      <c r="A19" s="40" t="s">
        <v>44</v>
      </c>
      <c r="B19" s="14" t="s">
        <v>45</v>
      </c>
    </row>
    <row r="20" spans="1:2">
      <c r="A20" s="39" t="s">
        <v>46</v>
      </c>
      <c r="B20" s="14" t="s">
        <v>47</v>
      </c>
    </row>
    <row r="21" spans="1:2">
      <c r="A21" s="36" t="s">
        <v>48</v>
      </c>
      <c r="B21" s="13" t="s">
        <v>49</v>
      </c>
    </row>
    <row r="22" spans="1:2">
      <c r="A22" s="37" t="s">
        <v>50</v>
      </c>
      <c r="B22" s="13" t="s">
        <v>51</v>
      </c>
    </row>
    <row r="23" spans="1:2">
      <c r="A23" s="37" t="s">
        <v>52</v>
      </c>
      <c r="B23" s="13" t="s">
        <v>53</v>
      </c>
    </row>
    <row r="24" spans="1:2">
      <c r="A24" s="41" t="s">
        <v>54</v>
      </c>
      <c r="B24" s="13" t="s">
        <v>55</v>
      </c>
    </row>
    <row r="25" spans="1:2">
      <c r="A25" s="37" t="s">
        <v>56</v>
      </c>
      <c r="B25" s="13" t="s">
        <v>57</v>
      </c>
    </row>
    <row r="26" spans="1:2">
      <c r="A26" s="37" t="s">
        <v>58</v>
      </c>
      <c r="B26" s="15" t="s">
        <v>59</v>
      </c>
    </row>
    <row r="27" spans="1:2">
      <c r="A27" s="37" t="s">
        <v>60</v>
      </c>
      <c r="B27" s="27" t="s">
        <v>61</v>
      </c>
    </row>
    <row r="28" spans="1:2" ht="15.75" thickBot="1">
      <c r="A28" s="38" t="s">
        <v>62</v>
      </c>
      <c r="B28" s="16" t="s">
        <v>63</v>
      </c>
    </row>
    <row r="29" spans="1:2" ht="15.75" thickBot="1">
      <c r="A29" s="38" t="s">
        <v>64</v>
      </c>
      <c r="B29" s="16" t="s">
        <v>65</v>
      </c>
    </row>
    <row r="30" spans="1:2">
      <c r="A30" s="38" t="s">
        <v>66</v>
      </c>
      <c r="B30" s="14" t="s">
        <v>67</v>
      </c>
    </row>
    <row r="31" spans="1:2">
      <c r="A31" s="46" t="s">
        <v>68</v>
      </c>
      <c r="B31" s="47" t="s">
        <v>69</v>
      </c>
    </row>
    <row r="32" spans="1:2">
      <c r="A32" s="46" t="s">
        <v>70</v>
      </c>
      <c r="B32" t="s">
        <v>71</v>
      </c>
    </row>
    <row r="33" spans="1:2">
      <c r="A33" s="46" t="s">
        <v>72</v>
      </c>
      <c r="B33" t="s">
        <v>73</v>
      </c>
    </row>
  </sheetData>
  <hyperlinks>
    <hyperlink ref="A2" location="'Pais'!A2" display="Pais" xr:uid="{9A8D5B9E-EA38-4D69-BA3E-18259FB2B9A1}"/>
    <hyperlink ref="A3" location="'Departamento'!A2" display="Departamento" xr:uid="{F3F2FE93-BDB7-47F1-BFA0-119D413C3795}"/>
    <hyperlink ref="A4" location="'Municipio'!A2" display="Municipio" xr:uid="{A20321C4-D156-47F7-8728-495C99C377C1}"/>
    <hyperlink ref="A5" location="'Categoria'!A2" display="Categoria" xr:uid="{A63CF0A9-7173-4ADB-953C-ED8DE7DE1577}"/>
    <hyperlink ref="A6" location="'Producto'!A2" display="Producto" xr:uid="{96DB0027-6D9B-4254-B1C8-2FE8EEBF210B}"/>
    <hyperlink ref="A7" location="'Unidad_Medida'!A2" display="Unidad_Medida" xr:uid="{E001E28D-1A42-4C9B-B2E6-815342E997F4}"/>
    <hyperlink ref="A8" location="'Estado_Producto'!A2" display="Estado_Producto" xr:uid="{B481FBB5-0523-4C2D-BFFC-AB872A70A6C0}"/>
    <hyperlink ref="A9" location="'Venta'!A2" display="Venta" xr:uid="{6DB6F831-7459-4821-9CD0-2D27B5522852}"/>
    <hyperlink ref="A10" location="'Estado Venta'!A2" display="Estado_Venta" xr:uid="{D429DBCA-3703-4CC1-935B-728B37184680}"/>
    <hyperlink ref="A16" location="'Detalle_Venta'!A2" display="Detalle_Venta" xr:uid="{C5EB12CF-15EB-46AC-AD09-05CBF826490D}"/>
    <hyperlink ref="A26" location="'Cliente'!A2" display="Cliente" xr:uid="{DF6D3FF4-6A6D-49CD-8FAA-0D1209952DF6}"/>
    <hyperlink ref="A11" location="'Pago'!A2" display="Pago" xr:uid="{83D294A5-BFC0-44B9-92D3-978D949F9960}"/>
    <hyperlink ref="A12" location="'Forma de Pago'!A2" display="Forma_Pago" xr:uid="{E5377446-50FC-464E-87F3-4D73E71ED7FF}"/>
    <hyperlink ref="A13" location="'Insumo'!A2" display="Insumo" xr:uid="{A07C6973-9019-4D9B-A417-833750A1D55A}"/>
    <hyperlink ref="A14" location="'Abastecimiento'!A2" display="Abastecimiento" xr:uid="{D36E59AE-BD4E-453F-BEE8-34DB42A50834}"/>
    <hyperlink ref="A15" location="'Produccion'!A2" display="Produccion" xr:uid="{A5C6E192-3C9F-47D5-8074-EF8153E0A288}"/>
    <hyperlink ref="A19" location="'Usuario'!A2" display="Usuario" xr:uid="{64533046-15C4-430C-9C2F-E62ABE7093C8}"/>
    <hyperlink ref="A21" location="'Rol'!A2" display="Rol" xr:uid="{0FAD78EA-D7E4-44B8-A124-F64025233B3B}"/>
    <hyperlink ref="A20" location="'Estado_Usuario'!A2" display="Estado_Usuario" xr:uid="{6B811318-1F1A-440A-B0BA-E863C5D9623F}"/>
    <hyperlink ref="A22" location="'informacion de interes'!A2" display="informacion de interes" xr:uid="{AA114727-FA2E-4703-8A64-6C0DD2EFFB18}"/>
    <hyperlink ref="A28" location="'Proveedor'!A2" display="Proveedor" xr:uid="{8BDFC1A3-09F2-4D07-85E9-0109AEC03E7B}"/>
    <hyperlink ref="A24" location="'Envio'!A2" display="Envio" xr:uid="{0B57E6AB-3C15-4F67-891A-29E146AF884B}"/>
    <hyperlink ref="A25" location="'Estado Envio'!A2" display="Estado_Envio" xr:uid="{64C8A006-3246-4314-A11F-B3A07919BB1A}"/>
    <hyperlink ref="A27" location="'Sede'!A2" display="Sede" xr:uid="{465D4329-DDD5-4834-AAB5-153819D7FC8A}"/>
    <hyperlink ref="A23" location="'tipo_identificacion'!A2" display="Tipo identificación" xr:uid="{046496F5-B1D3-4FA6-8BE3-3739B530C61A}"/>
    <hyperlink ref="A18" location="'Detalle_Abastecimiento'!A2" display="Detalle_Abastecimiento" xr:uid="{42F2D147-2276-4E1D-B8F9-C367024A0DAA}"/>
    <hyperlink ref="A17" location="'Detalle_Produccion'!A2" display="Detalle_Producción" xr:uid="{CEA61EE7-0C4F-4E36-864B-826F51D117D3}"/>
    <hyperlink ref="A29" location="'Devolucion'!A2" display="Devolucion" xr:uid="{B54BBE8D-8DA8-4C0C-AE25-5ED9C00EFE2E}"/>
    <hyperlink ref="A30" location="'Detalle_Devolucion'!A2" display="Detalle_Devolucion" xr:uid="{D712C372-FB1A-46E0-B40B-731825CE43E8}"/>
    <hyperlink ref="A31" location="Stock!A1" display="Stock_sede" xr:uid="{233FDA34-648D-494A-A512-FBA580078830}"/>
    <hyperlink ref="A33" location="Persona!A1" display="Persona" xr:uid="{EC6A678F-5A12-4A02-B71D-323F7B7DF06A}"/>
    <hyperlink ref="A32" location="Detalle_Envio!A1" display="Detalle_Envio" xr:uid="{84AC47CD-4706-4EB2-83F2-E2B7CDB49223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0339-E7E4-41F0-AB26-F7DF5B38C880}">
  <dimension ref="A1:U12"/>
  <sheetViews>
    <sheetView zoomScaleNormal="100" workbookViewId="0">
      <pane ySplit="1" topLeftCell="A2" activePane="bottomLeft" state="frozen"/>
      <selection pane="bottomLeft" activeCell="C19" sqref="C19"/>
    </sheetView>
  </sheetViews>
  <sheetFormatPr defaultColWidth="19.7109375" defaultRowHeight="15"/>
  <cols>
    <col min="1" max="1" width="30.71093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7.5703125" style="1" customWidth="1"/>
    <col min="18" max="18" width="56.28515625" style="1" bestFit="1" customWidth="1"/>
    <col min="19" max="19" width="12.7109375" style="1" customWidth="1"/>
    <col min="20" max="20" width="38.7109375" style="1" bestFit="1" customWidth="1"/>
    <col min="21" max="16384" width="19.7109375" style="1"/>
  </cols>
  <sheetData>
    <row r="1" spans="1:21" ht="15.75" thickBot="1">
      <c r="A1" s="50" t="s">
        <v>74</v>
      </c>
      <c r="B1" s="50"/>
      <c r="C1" s="50"/>
      <c r="D1" s="50"/>
      <c r="E1" s="50"/>
    </row>
    <row r="2" spans="1:21" ht="13.5" customHeight="1">
      <c r="A2" s="5" t="str">
        <f>Entidades!$A$1</f>
        <v>Entidad</v>
      </c>
      <c r="B2" s="51" t="str">
        <f>Entidades!A31</f>
        <v>Stock_sede</v>
      </c>
      <c r="C2" s="51"/>
      <c r="D2" s="51"/>
      <c r="E2" s="52"/>
    </row>
    <row r="3" spans="1:21" ht="15.75" thickBot="1">
      <c r="A3" s="6" t="str">
        <f>Entidades!$B$1</f>
        <v>Descripción</v>
      </c>
      <c r="B3" s="53" t="str">
        <f>Entidades!B31</f>
        <v xml:space="preserve">Entidad que contiene la información de las cantidades por cada producto en las distintas sedes </v>
      </c>
      <c r="C3" s="53"/>
      <c r="D3" s="53"/>
      <c r="E3" s="54"/>
    </row>
    <row r="4" spans="1:21" ht="15.75" thickBot="1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1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1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1" ht="14.25" customHeight="1">
      <c r="A7" s="2" t="s">
        <v>99</v>
      </c>
      <c r="B7" s="2" t="s">
        <v>100</v>
      </c>
      <c r="C7" s="2"/>
      <c r="D7" s="2"/>
      <c r="E7" s="2"/>
      <c r="F7" s="2" t="s">
        <v>101</v>
      </c>
      <c r="G7" s="2" t="s">
        <v>101</v>
      </c>
      <c r="H7" s="2" t="s">
        <v>101</v>
      </c>
      <c r="I7" s="2" t="s">
        <v>102</v>
      </c>
      <c r="J7" s="2"/>
      <c r="K7" s="2"/>
      <c r="L7" s="2" t="s">
        <v>101</v>
      </c>
      <c r="M7" s="2" t="s">
        <v>103</v>
      </c>
      <c r="N7" s="2" t="s">
        <v>102</v>
      </c>
      <c r="O7" s="2"/>
      <c r="P7" s="2" t="s">
        <v>101</v>
      </c>
      <c r="Q7" s="42" t="s">
        <v>104</v>
      </c>
      <c r="R7" s="42" t="s">
        <v>105</v>
      </c>
      <c r="S7" s="2" t="s">
        <v>106</v>
      </c>
      <c r="T7" s="2" t="s">
        <v>107</v>
      </c>
    </row>
    <row r="8" spans="1:21" ht="30">
      <c r="A8" s="2" t="s">
        <v>108</v>
      </c>
      <c r="B8" s="42" t="s">
        <v>109</v>
      </c>
      <c r="C8" s="2"/>
      <c r="D8" s="2"/>
      <c r="E8" s="2"/>
      <c r="F8" s="2" t="s">
        <v>102</v>
      </c>
      <c r="G8" s="2" t="s">
        <v>101</v>
      </c>
      <c r="H8" s="42" t="s">
        <v>110</v>
      </c>
      <c r="I8" s="2" t="s">
        <v>101</v>
      </c>
      <c r="J8" s="2"/>
      <c r="K8" s="2"/>
      <c r="L8" s="42" t="s">
        <v>102</v>
      </c>
      <c r="M8" s="2"/>
      <c r="N8" s="2" t="s">
        <v>102</v>
      </c>
      <c r="O8" s="2"/>
      <c r="P8" s="42" t="s">
        <v>102</v>
      </c>
      <c r="Q8" s="42"/>
      <c r="R8" s="42"/>
      <c r="S8" s="2" t="s">
        <v>111</v>
      </c>
      <c r="T8" s="43" t="s">
        <v>112</v>
      </c>
    </row>
    <row r="9" spans="1:21" s="24" customFormat="1">
      <c r="A9" s="42" t="s">
        <v>113</v>
      </c>
      <c r="B9" s="42" t="s">
        <v>109</v>
      </c>
      <c r="C9" s="42"/>
      <c r="D9" s="42"/>
      <c r="E9" s="42"/>
      <c r="F9" s="42" t="s">
        <v>102</v>
      </c>
      <c r="G9" s="2" t="s">
        <v>101</v>
      </c>
      <c r="H9" s="42" t="s">
        <v>110</v>
      </c>
      <c r="I9" s="42" t="s">
        <v>101</v>
      </c>
      <c r="J9" s="42"/>
      <c r="K9" s="42"/>
      <c r="L9" s="42" t="s">
        <v>102</v>
      </c>
      <c r="M9" s="42"/>
      <c r="N9" s="42" t="s">
        <v>102</v>
      </c>
      <c r="O9" s="42"/>
      <c r="P9" s="42" t="s">
        <v>102</v>
      </c>
      <c r="Q9" s="42"/>
      <c r="R9" s="42"/>
      <c r="S9" s="42" t="s">
        <v>114</v>
      </c>
      <c r="T9" s="42" t="s">
        <v>115</v>
      </c>
      <c r="U9" s="45"/>
    </row>
    <row r="10" spans="1:21">
      <c r="A10" s="42" t="s">
        <v>116</v>
      </c>
      <c r="B10" s="42" t="s">
        <v>117</v>
      </c>
      <c r="C10" s="42">
        <v>14</v>
      </c>
      <c r="D10" s="42">
        <v>14</v>
      </c>
      <c r="E10" s="44"/>
      <c r="F10" s="42" t="s">
        <v>102</v>
      </c>
      <c r="G10" s="2" t="s">
        <v>101</v>
      </c>
      <c r="H10" s="42" t="s">
        <v>110</v>
      </c>
      <c r="I10" s="44"/>
      <c r="J10" s="44"/>
      <c r="K10" s="44"/>
      <c r="L10" s="42" t="s">
        <v>102</v>
      </c>
      <c r="M10" s="44"/>
      <c r="N10" s="44"/>
      <c r="O10" s="44"/>
      <c r="P10" s="42" t="s">
        <v>102</v>
      </c>
      <c r="Q10" s="44"/>
      <c r="R10" s="44"/>
      <c r="S10" s="42" t="s">
        <v>118</v>
      </c>
      <c r="T10" s="42" t="s">
        <v>119</v>
      </c>
    </row>
    <row r="11" spans="1:21">
      <c r="A11" s="42" t="s">
        <v>120</v>
      </c>
      <c r="B11" s="42" t="s">
        <v>121</v>
      </c>
      <c r="C11" s="42">
        <v>100</v>
      </c>
      <c r="D11" s="42"/>
      <c r="E11" s="42"/>
      <c r="F11" s="42" t="s">
        <v>110</v>
      </c>
      <c r="G11" s="42" t="s">
        <v>122</v>
      </c>
      <c r="H11" s="42" t="s">
        <v>110</v>
      </c>
      <c r="I11" s="42" t="s">
        <v>102</v>
      </c>
      <c r="J11" s="42"/>
      <c r="K11" s="42"/>
      <c r="L11" s="42" t="s">
        <v>102</v>
      </c>
      <c r="M11" s="42"/>
      <c r="N11" s="42" t="s">
        <v>102</v>
      </c>
      <c r="O11" s="42"/>
      <c r="P11" s="42" t="s">
        <v>102</v>
      </c>
      <c r="Q11" s="42"/>
      <c r="R11" s="42"/>
      <c r="S11" s="42" t="s">
        <v>123</v>
      </c>
      <c r="T11" s="42" t="s">
        <v>124</v>
      </c>
    </row>
    <row r="12" spans="1:2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'Entidades'!A1" display="&lt;-Volver al inicio" xr:uid="{F65BFAB1-6B62-4B5F-B138-4C310D8B7E4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007106-BBD6-4693-96F3-9EFE396FA99A}">
          <x14:formula1>
            <xm:f>Valores!$C$2:$C$3</xm:f>
          </x14:formula1>
          <xm:sqref>L7 H7 N7:N9 G10 F7:G9 I7:I9 P7:P10</xm:sqref>
        </x14:dataValidation>
        <x14:dataValidation type="list" allowBlank="1" showInputMessage="1" showErrorMessage="1" xr:uid="{2E050B7D-C3A4-4117-8AFA-1E5FB0B9D026}">
          <x14:formula1>
            <xm:f>Valores!#REF!</xm:f>
          </x14:formula1>
          <xm:sqref>E7:E9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E9CA-C8EA-4223-B5CE-3683E21BB37A}">
  <dimension ref="A1:T12"/>
  <sheetViews>
    <sheetView topLeftCell="O1" zoomScaleNormal="100" workbookViewId="0">
      <pane ySplit="1" topLeftCell="P2" activePane="bottomLeft" state="frozen"/>
      <selection pane="bottomLeft" activeCell="T14" sqref="T14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7.5703125" style="1" customWidth="1"/>
    <col min="18" max="18" width="56.28515625" style="1" bestFit="1" customWidth="1"/>
    <col min="19" max="19" width="12.7109375" style="1" customWidth="1"/>
    <col min="20" max="20" width="34.8554687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Entidades!A27</f>
        <v>Sede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Entidades!B27</f>
        <v>Entidad que contiene la información de las diferentes sedes del negocio.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 ht="14.25" customHeight="1">
      <c r="A7" s="3" t="s">
        <v>113</v>
      </c>
      <c r="B7" s="2" t="s">
        <v>100</v>
      </c>
      <c r="C7" s="2"/>
      <c r="D7" s="2"/>
      <c r="E7" s="2"/>
      <c r="F7" s="2" t="s">
        <v>101</v>
      </c>
      <c r="G7" s="2" t="s">
        <v>101</v>
      </c>
      <c r="H7" s="2" t="s">
        <v>101</v>
      </c>
      <c r="I7" s="2" t="s">
        <v>102</v>
      </c>
      <c r="J7" s="2"/>
      <c r="K7" s="2"/>
      <c r="L7" s="2" t="s">
        <v>101</v>
      </c>
      <c r="M7" s="2" t="s">
        <v>103</v>
      </c>
      <c r="N7" s="2" t="s">
        <v>102</v>
      </c>
      <c r="O7" s="2"/>
      <c r="P7" s="2" t="s">
        <v>101</v>
      </c>
      <c r="Q7" t="s">
        <v>104</v>
      </c>
      <c r="R7" t="s">
        <v>105</v>
      </c>
      <c r="S7" s="26" t="s">
        <v>106</v>
      </c>
      <c r="T7" s="4" t="s">
        <v>107</v>
      </c>
    </row>
    <row r="8" spans="1:20">
      <c r="A8" s="25" t="s">
        <v>76</v>
      </c>
      <c r="B8" s="26" t="s">
        <v>121</v>
      </c>
      <c r="C8" s="26">
        <v>50</v>
      </c>
      <c r="D8" s="26"/>
      <c r="E8" s="26"/>
      <c r="F8" s="26" t="s">
        <v>102</v>
      </c>
      <c r="G8" s="26" t="s">
        <v>101</v>
      </c>
      <c r="H8" s="26" t="s">
        <v>102</v>
      </c>
      <c r="I8" s="26" t="s">
        <v>102</v>
      </c>
      <c r="J8" s="26"/>
      <c r="K8" s="26"/>
      <c r="L8" s="26" t="s">
        <v>102</v>
      </c>
      <c r="M8" s="26"/>
      <c r="N8" s="26" t="s">
        <v>102</v>
      </c>
      <c r="O8" s="26"/>
      <c r="P8" s="28" t="s">
        <v>101</v>
      </c>
      <c r="Q8" s="22"/>
      <c r="R8" s="33"/>
      <c r="S8" s="32" t="s">
        <v>125</v>
      </c>
      <c r="T8" s="34" t="s">
        <v>126</v>
      </c>
    </row>
    <row r="9" spans="1:20" s="24" customFormat="1">
      <c r="A9" s="22" t="s">
        <v>127</v>
      </c>
      <c r="B9" s="27" t="s">
        <v>121</v>
      </c>
      <c r="C9" s="23">
        <v>200</v>
      </c>
      <c r="D9" s="22"/>
      <c r="E9" s="22"/>
      <c r="F9" s="22" t="s">
        <v>102</v>
      </c>
      <c r="G9" s="22" t="s">
        <v>102</v>
      </c>
      <c r="H9" s="22" t="s">
        <v>102</v>
      </c>
      <c r="I9" s="22" t="s">
        <v>102</v>
      </c>
      <c r="J9" s="22"/>
      <c r="K9" s="22"/>
      <c r="L9" s="22" t="s">
        <v>102</v>
      </c>
      <c r="M9" s="22"/>
      <c r="N9" s="22" t="s">
        <v>102</v>
      </c>
      <c r="O9" s="22"/>
      <c r="P9" s="22" t="s">
        <v>102</v>
      </c>
      <c r="Q9" s="30"/>
      <c r="R9" s="27"/>
      <c r="S9" s="29" t="s">
        <v>128</v>
      </c>
      <c r="T9" s="31" t="s">
        <v>129</v>
      </c>
    </row>
    <row r="10" spans="1:20">
      <c r="A10" s="22" t="s">
        <v>130</v>
      </c>
      <c r="B10" s="27" t="s">
        <v>131</v>
      </c>
      <c r="C10" s="23"/>
      <c r="D10" s="22"/>
      <c r="E10" s="22"/>
      <c r="F10" s="22" t="s">
        <v>102</v>
      </c>
      <c r="G10" s="22" t="s">
        <v>101</v>
      </c>
      <c r="H10" s="22" t="s">
        <v>102</v>
      </c>
      <c r="I10" s="22" t="s">
        <v>102</v>
      </c>
      <c r="J10" s="22"/>
      <c r="K10" s="22"/>
      <c r="L10" s="22" t="s">
        <v>102</v>
      </c>
      <c r="M10" s="22"/>
      <c r="N10" s="22" t="s">
        <v>102</v>
      </c>
      <c r="O10" s="22"/>
      <c r="P10" s="22" t="s">
        <v>102</v>
      </c>
      <c r="Q10" s="30"/>
      <c r="R10" s="27"/>
      <c r="S10" s="29" t="s">
        <v>132</v>
      </c>
      <c r="T10" s="31" t="s">
        <v>133</v>
      </c>
    </row>
    <row r="11" spans="1:20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98678669-7B9E-486A-8363-53B9910B024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9FA20C-A09A-4DEF-9457-78E8AB14D502}">
          <x14:formula1>
            <xm:f>Valores!#REF!</xm:f>
          </x14:formula1>
          <xm:sqref>E7:E10</xm:sqref>
        </x14:dataValidation>
        <x14:dataValidation type="list" allowBlank="1" showInputMessage="1" showErrorMessage="1" xr:uid="{5C8123B3-0697-4CEB-89A7-F1EA75EEA513}">
          <x14:formula1>
            <xm:f>Valores!$C$2:$C$3</xm:f>
          </x14:formula1>
          <xm:sqref>P7:P10 F7:I10 N7:N10 L7:L10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5E68-13E2-4B50-A54A-D3D8BEBAA63D}">
  <dimension ref="A1:T12"/>
  <sheetViews>
    <sheetView topLeftCell="O1"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7.5703125" style="1" customWidth="1"/>
    <col min="18" max="18" width="56.28515625" style="1" bestFit="1" customWidth="1"/>
    <col min="19" max="19" width="12.7109375" style="1" customWidth="1"/>
    <col min="20" max="20" width="29.28515625" style="1" bestFit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</f>
        <v>Pais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</f>
        <v xml:space="preserve">Entidad que contiene la información de un pais al que pertenecen varios departamentos														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 ht="14.25" customHeight="1">
      <c r="A7" s="3" t="s">
        <v>134</v>
      </c>
      <c r="B7" s="2" t="s">
        <v>135</v>
      </c>
      <c r="C7" s="2"/>
      <c r="D7" s="2"/>
      <c r="E7" s="2"/>
      <c r="F7" s="2" t="s">
        <v>102</v>
      </c>
      <c r="G7" s="2" t="s">
        <v>101</v>
      </c>
      <c r="H7" s="2" t="s">
        <v>101</v>
      </c>
      <c r="I7" s="2" t="s">
        <v>102</v>
      </c>
      <c r="J7" s="2"/>
      <c r="K7" s="2"/>
      <c r="L7" s="2" t="s">
        <v>101</v>
      </c>
      <c r="M7" s="2" t="s">
        <v>136</v>
      </c>
      <c r="N7" s="2" t="s">
        <v>102</v>
      </c>
      <c r="O7" s="2"/>
      <c r="P7" s="2" t="s">
        <v>101</v>
      </c>
      <c r="Q7" t="s">
        <v>137</v>
      </c>
      <c r="R7" t="s">
        <v>136</v>
      </c>
      <c r="S7" s="2" t="s">
        <v>138</v>
      </c>
      <c r="T7" s="4" t="s">
        <v>139</v>
      </c>
    </row>
    <row r="8" spans="1:20">
      <c r="A8" s="3" t="s">
        <v>76</v>
      </c>
      <c r="B8" s="2" t="s">
        <v>121</v>
      </c>
      <c r="C8" s="2">
        <v>100</v>
      </c>
      <c r="D8" s="2"/>
      <c r="E8" s="2"/>
      <c r="F8" s="2" t="s">
        <v>102</v>
      </c>
      <c r="G8" s="2" t="s">
        <v>101</v>
      </c>
      <c r="H8" s="2" t="s">
        <v>102</v>
      </c>
      <c r="I8" s="2" t="s">
        <v>102</v>
      </c>
      <c r="J8" s="2"/>
      <c r="K8" s="2"/>
      <c r="L8" s="2" t="s">
        <v>102</v>
      </c>
      <c r="M8" s="2"/>
      <c r="N8" s="2" t="s">
        <v>102</v>
      </c>
      <c r="O8" s="2"/>
      <c r="P8" s="2" t="s">
        <v>101</v>
      </c>
      <c r="Q8"/>
      <c r="R8"/>
      <c r="S8" s="2" t="s">
        <v>125</v>
      </c>
      <c r="T8" s="4" t="s">
        <v>140</v>
      </c>
    </row>
    <row r="10" spans="1:2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7F428BCA-4439-4801-AF1D-01C977D8977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B45C202-CD56-4712-8AFE-7BB63E6E4DBA}">
          <x14:formula1>
            <xm:f>Valores!$C$2:$C$3</xm:f>
          </x14:formula1>
          <xm:sqref>P7:P8 F7:I8 N7:N8 L7:L8</xm:sqref>
        </x14:dataValidation>
        <x14:dataValidation type="list" allowBlank="1" showInputMessage="1" showErrorMessage="1" xr:uid="{5D0DECA4-4419-4011-9533-CB6F2CF443AA}">
          <x14:formula1>
            <xm:f>Valores!#REF!</xm:f>
          </x14:formula1>
          <xm:sqref>E7:E8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284B-051F-4ED1-97E5-D9EC00A65FAE}">
  <dimension ref="A1:T14"/>
  <sheetViews>
    <sheetView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0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21" style="1" customWidth="1"/>
    <col min="20" max="20" width="36.42578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Entidades!A3</f>
        <v>Departamento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Entidades!B3</f>
        <v xml:space="preserve">Entidad que contiene la información de un departamento al que pertenecen varias ciudades.														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 ht="14.25" customHeight="1">
      <c r="A7" s="3" t="s">
        <v>141</v>
      </c>
      <c r="B7" s="2" t="s">
        <v>135</v>
      </c>
      <c r="C7" s="2"/>
      <c r="D7" s="2"/>
      <c r="E7" s="2"/>
      <c r="F7" s="2" t="s">
        <v>102</v>
      </c>
      <c r="G7" s="2" t="s">
        <v>101</v>
      </c>
      <c r="H7" s="2" t="s">
        <v>101</v>
      </c>
      <c r="I7" s="2" t="s">
        <v>102</v>
      </c>
      <c r="J7" s="2"/>
      <c r="K7" s="2"/>
      <c r="L7" s="2" t="s">
        <v>101</v>
      </c>
      <c r="M7" s="2" t="s">
        <v>142</v>
      </c>
      <c r="N7" s="2" t="s">
        <v>102</v>
      </c>
      <c r="O7" s="2"/>
      <c r="P7" s="2" t="s">
        <v>101</v>
      </c>
      <c r="Q7" s="2" t="s">
        <v>143</v>
      </c>
      <c r="R7" s="2" t="s">
        <v>142</v>
      </c>
      <c r="S7" s="2" t="s">
        <v>144</v>
      </c>
      <c r="T7" s="4" t="s">
        <v>145</v>
      </c>
    </row>
    <row r="8" spans="1:20">
      <c r="A8" s="3" t="s">
        <v>76</v>
      </c>
      <c r="B8" s="2" t="s">
        <v>121</v>
      </c>
      <c r="C8" s="2">
        <v>100</v>
      </c>
      <c r="D8" s="2"/>
      <c r="E8" s="2"/>
      <c r="F8" s="2" t="s">
        <v>102</v>
      </c>
      <c r="G8" s="2" t="s">
        <v>101</v>
      </c>
      <c r="H8" s="2" t="s">
        <v>102</v>
      </c>
      <c r="I8" s="2" t="s">
        <v>102</v>
      </c>
      <c r="J8" s="2"/>
      <c r="K8" s="2"/>
      <c r="L8" s="2" t="s">
        <v>102</v>
      </c>
      <c r="M8" s="2"/>
      <c r="N8" s="2" t="s">
        <v>102</v>
      </c>
      <c r="O8" s="2"/>
      <c r="P8" s="2" t="s">
        <v>101</v>
      </c>
      <c r="Q8" s="2" t="s">
        <v>143</v>
      </c>
      <c r="R8" s="2" t="s">
        <v>102</v>
      </c>
      <c r="S8" s="2" t="s">
        <v>125</v>
      </c>
      <c r="T8" s="4" t="s">
        <v>146</v>
      </c>
    </row>
    <row r="9" spans="1:20">
      <c r="A9" s="3" t="s">
        <v>147</v>
      </c>
      <c r="B9" s="2" t="s">
        <v>135</v>
      </c>
      <c r="C9" s="2"/>
      <c r="D9" s="2"/>
      <c r="E9" s="2"/>
      <c r="F9" s="2" t="s">
        <v>102</v>
      </c>
      <c r="G9" s="2" t="s">
        <v>101</v>
      </c>
      <c r="H9" s="2" t="s">
        <v>102</v>
      </c>
      <c r="I9" s="2" t="s">
        <v>101</v>
      </c>
      <c r="J9" s="2" t="s">
        <v>10</v>
      </c>
      <c r="K9" s="2" t="s">
        <v>138</v>
      </c>
      <c r="L9" s="2" t="s">
        <v>102</v>
      </c>
      <c r="M9" s="2"/>
      <c r="N9" s="2" t="s">
        <v>102</v>
      </c>
      <c r="O9" s="2"/>
      <c r="P9" s="2" t="s">
        <v>101</v>
      </c>
      <c r="Q9" s="2" t="s">
        <v>143</v>
      </c>
      <c r="R9" s="2" t="s">
        <v>102</v>
      </c>
      <c r="S9" s="2" t="s">
        <v>148</v>
      </c>
      <c r="T9" s="4" t="s">
        <v>149</v>
      </c>
    </row>
    <row r="11" spans="1:20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869A9F71-2F89-4C0F-94F0-B6F34D9B2C2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7B1DF8-9052-4FB0-A2DE-39D51337740B}">
          <x14:formula1>
            <xm:f>Valores!#REF!</xm:f>
          </x14:formula1>
          <xm:sqref>E7:E9</xm:sqref>
        </x14:dataValidation>
        <x14:dataValidation type="list" allowBlank="1" showInputMessage="1" showErrorMessage="1" xr:uid="{A1F9E657-99C1-48E9-AF23-033D9BCD70FF}">
          <x14:formula1>
            <xm:f>Valores!$C$2:$C$3</xm:f>
          </x14:formula1>
          <xm:sqref>P7:P9 F7:I9 N7:N9 L7:L9 R8:R9</xm:sqref>
        </x14:dataValidation>
        <x14:dataValidation type="list" allowBlank="1" showInputMessage="1" showErrorMessage="1" xr:uid="{7F9DBC2E-E01E-4E07-B1BB-30673563987F}">
          <x14:formula1>
            <xm:f>Valores!$D$2:$D$3</xm:f>
          </x14:formula1>
          <xm:sqref>Q7:Q9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61EF-1A03-4040-9D0A-2881280C2884}">
  <dimension ref="A1:T15"/>
  <sheetViews>
    <sheetView zoomScaleNormal="100" workbookViewId="0">
      <pane ySplit="1" topLeftCell="A2" activePane="bottomLeft" state="frozen"/>
      <selection pane="bottomLeft" activeCell="B9" sqref="B9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1" width="17.42578125" style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12.7109375" style="1" customWidth="1"/>
    <col min="20" max="20" width="29.28515625" style="1" bestFit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Entidades!A4</f>
        <v>Municipio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Entidades!B4</f>
        <v>Entidad que contiene la información de  cada uno de los municipios o ciudades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 ht="14.25" customHeight="1">
      <c r="A7" s="3" t="s">
        <v>150</v>
      </c>
      <c r="B7" s="2" t="s">
        <v>135</v>
      </c>
      <c r="C7" s="2"/>
      <c r="D7" s="2"/>
      <c r="E7" s="2"/>
      <c r="F7" s="2" t="s">
        <v>101</v>
      </c>
      <c r="G7" s="2" t="s">
        <v>101</v>
      </c>
      <c r="H7" s="2" t="s">
        <v>101</v>
      </c>
      <c r="I7" s="2" t="s">
        <v>102</v>
      </c>
      <c r="J7" s="2"/>
      <c r="K7" s="2"/>
      <c r="L7" s="2" t="s">
        <v>101</v>
      </c>
      <c r="M7" s="2" t="s">
        <v>151</v>
      </c>
      <c r="N7" s="2" t="s">
        <v>102</v>
      </c>
      <c r="O7" s="2"/>
      <c r="P7" s="2" t="s">
        <v>101</v>
      </c>
      <c r="Q7" s="2" t="s">
        <v>143</v>
      </c>
      <c r="R7" s="2" t="s">
        <v>102</v>
      </c>
      <c r="S7" s="2" t="s">
        <v>152</v>
      </c>
      <c r="T7" s="4" t="s">
        <v>153</v>
      </c>
    </row>
    <row r="8" spans="1:20">
      <c r="A8" s="3" t="s">
        <v>76</v>
      </c>
      <c r="B8" s="2" t="s">
        <v>121</v>
      </c>
      <c r="C8" s="2">
        <v>100</v>
      </c>
      <c r="D8" s="2"/>
      <c r="E8" s="2"/>
      <c r="F8" s="2" t="s">
        <v>102</v>
      </c>
      <c r="G8" s="2" t="s">
        <v>101</v>
      </c>
      <c r="H8" s="2" t="s">
        <v>102</v>
      </c>
      <c r="I8" s="2" t="s">
        <v>102</v>
      </c>
      <c r="J8" s="2"/>
      <c r="K8" s="2"/>
      <c r="L8" s="2" t="s">
        <v>102</v>
      </c>
      <c r="M8" s="2"/>
      <c r="N8" s="2" t="s">
        <v>102</v>
      </c>
      <c r="O8" s="2"/>
      <c r="P8" s="2" t="s">
        <v>101</v>
      </c>
      <c r="Q8" s="2" t="s">
        <v>143</v>
      </c>
      <c r="R8" s="2" t="s">
        <v>102</v>
      </c>
      <c r="S8" s="2" t="s">
        <v>125</v>
      </c>
      <c r="T8" s="4" t="s">
        <v>154</v>
      </c>
    </row>
    <row r="9" spans="1:20">
      <c r="A9" s="3" t="s">
        <v>155</v>
      </c>
      <c r="B9" s="2" t="s">
        <v>135</v>
      </c>
      <c r="C9" s="2"/>
      <c r="D9" s="2"/>
      <c r="E9" s="2"/>
      <c r="F9" s="2" t="s">
        <v>102</v>
      </c>
      <c r="G9" s="2" t="s">
        <v>101</v>
      </c>
      <c r="H9" s="2" t="s">
        <v>102</v>
      </c>
      <c r="I9" s="2" t="s">
        <v>101</v>
      </c>
      <c r="J9" s="2" t="s">
        <v>156</v>
      </c>
      <c r="K9" s="2" t="s">
        <v>144</v>
      </c>
      <c r="L9" s="2" t="s">
        <v>102</v>
      </c>
      <c r="M9" s="2"/>
      <c r="N9" s="2" t="s">
        <v>102</v>
      </c>
      <c r="O9" s="2"/>
      <c r="P9" s="2" t="s">
        <v>101</v>
      </c>
      <c r="Q9" s="2" t="s">
        <v>143</v>
      </c>
      <c r="R9" s="2" t="s">
        <v>102</v>
      </c>
      <c r="S9" s="2" t="s">
        <v>141</v>
      </c>
      <c r="T9" s="4" t="s">
        <v>157</v>
      </c>
    </row>
    <row r="12" spans="1:20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B1520075-F3C9-4F27-A41C-62CEB07D4DB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8D19717-AA4C-4D37-9B72-8B0096D363D5}">
          <x14:formula1>
            <xm:f>Valores!$D$2:$D$3</xm:f>
          </x14:formula1>
          <xm:sqref>Q7:Q9</xm:sqref>
        </x14:dataValidation>
        <x14:dataValidation type="list" allowBlank="1" showInputMessage="1" showErrorMessage="1" xr:uid="{9415DBC1-C335-41DF-BFDD-639527EECBA9}">
          <x14:formula1>
            <xm:f>Valores!$C$2:$C$3</xm:f>
          </x14:formula1>
          <xm:sqref>P7:P9 R7:R9 N7:N9 L7:L9 F7:I9</xm:sqref>
        </x14:dataValidation>
        <x14:dataValidation type="list" allowBlank="1" showInputMessage="1" showErrorMessage="1" xr:uid="{172AC328-66AA-455C-80BD-10ED22DB824F}">
          <x14:formula1>
            <xm:f>Valores!#REF!</xm:f>
          </x14:formula1>
          <xm:sqref>E7:E9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DDF4-316A-459E-8034-5878BEB9BE9F}">
  <dimension ref="A1:T13"/>
  <sheetViews>
    <sheetView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12.7109375" style="1" customWidth="1"/>
    <col min="20" max="20" width="37.1406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Entidades!A5</f>
        <v>Categoria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Entidades!B5</f>
        <v xml:space="preserve">Entidad que contiene la información de las categorias mediante la cual se agrupan a los productos según sus características y uso														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 ht="14.25" customHeight="1">
      <c r="A7" s="3" t="s">
        <v>158</v>
      </c>
      <c r="B7" s="2" t="s">
        <v>159</v>
      </c>
      <c r="C7" s="2"/>
      <c r="D7" s="2"/>
      <c r="E7" s="2"/>
      <c r="F7" s="2" t="s">
        <v>101</v>
      </c>
      <c r="G7" s="2" t="s">
        <v>101</v>
      </c>
      <c r="H7" s="2" t="s">
        <v>101</v>
      </c>
      <c r="I7" s="2" t="s">
        <v>102</v>
      </c>
      <c r="J7" s="2"/>
      <c r="K7" s="2"/>
      <c r="L7" s="2" t="s">
        <v>101</v>
      </c>
      <c r="M7" s="2" t="s">
        <v>160</v>
      </c>
      <c r="N7" s="2" t="s">
        <v>102</v>
      </c>
      <c r="O7" s="2"/>
      <c r="P7" s="2" t="s">
        <v>101</v>
      </c>
      <c r="Q7" s="2" t="s">
        <v>143</v>
      </c>
      <c r="R7" t="s">
        <v>160</v>
      </c>
      <c r="S7" t="s">
        <v>158</v>
      </c>
      <c r="T7" s="4" t="s">
        <v>161</v>
      </c>
    </row>
    <row r="8" spans="1:20">
      <c r="A8" s="3" t="s">
        <v>76</v>
      </c>
      <c r="B8" s="2" t="s">
        <v>121</v>
      </c>
      <c r="C8" s="2">
        <v>100</v>
      </c>
      <c r="D8" s="2"/>
      <c r="E8" s="2"/>
      <c r="F8" s="2" t="s">
        <v>102</v>
      </c>
      <c r="G8" s="2" t="s">
        <v>101</v>
      </c>
      <c r="H8" s="2" t="s">
        <v>102</v>
      </c>
      <c r="I8" s="2" t="s">
        <v>102</v>
      </c>
      <c r="J8" s="2"/>
      <c r="K8" s="2"/>
      <c r="L8" s="2" t="s">
        <v>102</v>
      </c>
      <c r="M8" s="2"/>
      <c r="N8" s="2" t="s">
        <v>102</v>
      </c>
      <c r="O8" s="2"/>
      <c r="P8" s="2" t="s">
        <v>101</v>
      </c>
      <c r="Q8" s="2" t="s">
        <v>143</v>
      </c>
      <c r="R8" s="2"/>
      <c r="S8" s="2" t="s">
        <v>125</v>
      </c>
      <c r="T8" t="s">
        <v>162</v>
      </c>
    </row>
    <row r="9" spans="1:20">
      <c r="A9" s="1" t="s">
        <v>163</v>
      </c>
      <c r="B9" s="2" t="s">
        <v>121</v>
      </c>
      <c r="C9" s="1">
        <v>250</v>
      </c>
      <c r="G9" s="1" t="s">
        <v>102</v>
      </c>
      <c r="H9" s="2" t="s">
        <v>102</v>
      </c>
      <c r="I9" s="2" t="s">
        <v>102</v>
      </c>
      <c r="T9" s="1" t="s">
        <v>164</v>
      </c>
    </row>
    <row r="10" spans="1:20">
      <c r="A10" t="s">
        <v>165</v>
      </c>
      <c r="B10" t="s">
        <v>166</v>
      </c>
      <c r="C10"/>
      <c r="D10"/>
      <c r="E10"/>
      <c r="F10" t="s">
        <v>102</v>
      </c>
      <c r="G10" t="s">
        <v>167</v>
      </c>
      <c r="H10" t="s">
        <v>102</v>
      </c>
      <c r="I10" t="s">
        <v>102</v>
      </c>
      <c r="J10"/>
      <c r="K10"/>
      <c r="L10" t="s">
        <v>102</v>
      </c>
      <c r="M10"/>
      <c r="N10" t="s">
        <v>167</v>
      </c>
      <c r="O10" t="s">
        <v>168</v>
      </c>
      <c r="P10" t="s">
        <v>102</v>
      </c>
      <c r="Q10"/>
      <c r="R10"/>
      <c r="S10" t="s">
        <v>169</v>
      </c>
      <c r="T10" t="s">
        <v>170</v>
      </c>
    </row>
    <row r="11" spans="1:20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</sheetData>
  <mergeCells count="18"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  <mergeCell ref="P5:R5"/>
  </mergeCells>
  <hyperlinks>
    <hyperlink ref="A1:E1" location="'Entidades'!A1" display="&lt;-Volver al inicio" xr:uid="{B7222294-765F-4B58-8492-6A711787599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43BA6ED-6B0A-4096-B067-8B8B3E4885C0}">
          <x14:formula1>
            <xm:f>Valores!#REF!</xm:f>
          </x14:formula1>
          <xm:sqref>E7:E8</xm:sqref>
        </x14:dataValidation>
        <x14:dataValidation type="list" allowBlank="1" showInputMessage="1" showErrorMessage="1" xr:uid="{1B9E26CD-D6BC-4F48-80D5-5CAAD4DF983E}">
          <x14:formula1>
            <xm:f>Valores!$C$2:$C$3</xm:f>
          </x14:formula1>
          <xm:sqref>P7:P8 F7:I8 N7:N8 L7:L8 R8 G10:I10 H9:I9</xm:sqref>
        </x14:dataValidation>
        <x14:dataValidation type="list" allowBlank="1" showInputMessage="1" showErrorMessage="1" xr:uid="{73E0EBFF-2F16-456F-9677-562E614E3521}">
          <x14:formula1>
            <xm:f>Valores!$D$2:$D$3</xm:f>
          </x14:formula1>
          <xm:sqref>Q7:Q8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BB98-935B-4754-B1A3-4BD26E68BAB8}">
  <dimension ref="A1:T20"/>
  <sheetViews>
    <sheetView zoomScaleNormal="100" workbookViewId="0">
      <pane ySplit="1" topLeftCell="A2" activePane="bottomLeft" state="frozen"/>
      <selection pane="bottomLeft" activeCell="D20" sqref="D20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59.710937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Entidades!A6</f>
        <v>Producto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Entidades!B6</f>
        <v xml:space="preserve">Entidad que contiene la información de cada producto que el negocio ofrece a sus clientes.														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171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172</v>
      </c>
      <c r="N7" t="s">
        <v>102</v>
      </c>
      <c r="O7"/>
      <c r="P7" t="s">
        <v>167</v>
      </c>
      <c r="Q7" t="s">
        <v>137</v>
      </c>
      <c r="R7" t="s">
        <v>172</v>
      </c>
      <c r="S7" t="s">
        <v>171</v>
      </c>
      <c r="T7" t="s">
        <v>173</v>
      </c>
    </row>
    <row r="8" spans="1:20">
      <c r="A8" t="s">
        <v>125</v>
      </c>
      <c r="B8" t="s">
        <v>121</v>
      </c>
      <c r="C8">
        <v>100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102</v>
      </c>
      <c r="M8"/>
      <c r="N8" t="s">
        <v>102</v>
      </c>
      <c r="O8"/>
      <c r="P8" t="s">
        <v>167</v>
      </c>
      <c r="Q8"/>
      <c r="R8"/>
      <c r="S8" t="s">
        <v>125</v>
      </c>
      <c r="T8" t="s">
        <v>174</v>
      </c>
    </row>
    <row r="9" spans="1:20">
      <c r="A9" t="s">
        <v>128</v>
      </c>
      <c r="B9" t="s">
        <v>121</v>
      </c>
      <c r="C9">
        <v>250</v>
      </c>
      <c r="D9"/>
      <c r="E9"/>
      <c r="F9" t="s">
        <v>102</v>
      </c>
      <c r="G9" t="s">
        <v>102</v>
      </c>
      <c r="H9" t="s">
        <v>102</v>
      </c>
      <c r="I9" t="s">
        <v>102</v>
      </c>
      <c r="J9"/>
      <c r="K9"/>
      <c r="L9" t="s">
        <v>102</v>
      </c>
      <c r="M9"/>
      <c r="N9" t="s">
        <v>102</v>
      </c>
      <c r="O9"/>
      <c r="P9" t="s">
        <v>102</v>
      </c>
      <c r="Q9"/>
      <c r="R9"/>
      <c r="S9" t="s">
        <v>128</v>
      </c>
      <c r="T9" t="s">
        <v>175</v>
      </c>
    </row>
    <row r="10" spans="1:20" ht="14.25" customHeight="1">
      <c r="A10" t="s">
        <v>158</v>
      </c>
      <c r="B10" t="s">
        <v>109</v>
      </c>
      <c r="C10"/>
      <c r="D10"/>
      <c r="E10"/>
      <c r="F10" t="s">
        <v>102</v>
      </c>
      <c r="G10" t="s">
        <v>167</v>
      </c>
      <c r="H10" t="s">
        <v>102</v>
      </c>
      <c r="I10" t="s">
        <v>167</v>
      </c>
      <c r="J10" t="s">
        <v>176</v>
      </c>
      <c r="K10" t="s">
        <v>158</v>
      </c>
      <c r="L10" t="s">
        <v>102</v>
      </c>
      <c r="M10"/>
      <c r="N10" t="s">
        <v>102</v>
      </c>
      <c r="O10"/>
      <c r="P10" t="s">
        <v>167</v>
      </c>
      <c r="Q10"/>
      <c r="R10" t="s">
        <v>177</v>
      </c>
      <c r="S10" t="s">
        <v>158</v>
      </c>
      <c r="T10" t="s">
        <v>178</v>
      </c>
    </row>
    <row r="11" spans="1:20">
      <c r="A11" t="s">
        <v>179</v>
      </c>
      <c r="B11" t="s">
        <v>109</v>
      </c>
      <c r="C11"/>
      <c r="D11"/>
      <c r="E11"/>
      <c r="F11" t="s">
        <v>102</v>
      </c>
      <c r="G11" t="s">
        <v>167</v>
      </c>
      <c r="H11" t="s">
        <v>102</v>
      </c>
      <c r="I11" t="s">
        <v>167</v>
      </c>
      <c r="J11" t="s">
        <v>180</v>
      </c>
      <c r="K11" t="s">
        <v>179</v>
      </c>
      <c r="L11" t="s">
        <v>102</v>
      </c>
      <c r="M11"/>
      <c r="N11" t="s">
        <v>102</v>
      </c>
      <c r="O11"/>
      <c r="P11" t="s">
        <v>167</v>
      </c>
      <c r="Q11"/>
      <c r="R11" t="s">
        <v>181</v>
      </c>
      <c r="S11" t="s">
        <v>179</v>
      </c>
      <c r="T11" t="s">
        <v>182</v>
      </c>
    </row>
    <row r="12" spans="1:20">
      <c r="A12" t="s">
        <v>183</v>
      </c>
      <c r="B12" t="s">
        <v>109</v>
      </c>
      <c r="C12"/>
      <c r="D12"/>
      <c r="E12"/>
      <c r="F12" t="s">
        <v>102</v>
      </c>
      <c r="G12" t="s">
        <v>167</v>
      </c>
      <c r="H12" t="s">
        <v>102</v>
      </c>
      <c r="I12" t="s">
        <v>167</v>
      </c>
      <c r="J12" t="s">
        <v>184</v>
      </c>
      <c r="K12" t="s">
        <v>183</v>
      </c>
      <c r="L12" t="s">
        <v>102</v>
      </c>
      <c r="M12"/>
      <c r="N12" t="s">
        <v>102</v>
      </c>
      <c r="O12"/>
      <c r="P12" t="s">
        <v>167</v>
      </c>
      <c r="Q12"/>
      <c r="R12" t="s">
        <v>185</v>
      </c>
      <c r="S12" t="s">
        <v>183</v>
      </c>
      <c r="T12" t="s">
        <v>186</v>
      </c>
    </row>
    <row r="13" spans="1:20">
      <c r="A13" t="s">
        <v>187</v>
      </c>
      <c r="B13" t="s">
        <v>117</v>
      </c>
      <c r="C13">
        <v>12</v>
      </c>
      <c r="D13">
        <v>12</v>
      </c>
      <c r="E13">
        <v>2</v>
      </c>
      <c r="F13" t="s">
        <v>102</v>
      </c>
      <c r="G13" t="s">
        <v>167</v>
      </c>
      <c r="H13" t="s">
        <v>102</v>
      </c>
      <c r="I13" t="s">
        <v>102</v>
      </c>
      <c r="J13"/>
      <c r="K13"/>
      <c r="L13" t="s">
        <v>102</v>
      </c>
      <c r="M13"/>
      <c r="N13" t="s">
        <v>167</v>
      </c>
      <c r="O13" t="s">
        <v>188</v>
      </c>
      <c r="P13" t="s">
        <v>102</v>
      </c>
      <c r="Q13"/>
      <c r="R13"/>
      <c r="S13" t="s">
        <v>187</v>
      </c>
      <c r="T13" t="s">
        <v>189</v>
      </c>
    </row>
    <row r="14" spans="1:20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</sheetData>
  <mergeCells count="18"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</mergeCells>
  <hyperlinks>
    <hyperlink ref="A1:E1" location="'Entidades'!A1" display="&lt;-Volver al inicio" xr:uid="{98473D58-DD1B-41FB-B263-F2317A93F9E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9928-C9EA-4B32-833B-4C512B8276B7}">
  <dimension ref="A1:T12"/>
  <sheetViews>
    <sheetView topLeftCell="O1"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29.28515625" style="1" bestFit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Entidades!A8</f>
        <v>Estado_Producto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Entidades!B8</f>
        <v>Entidad que contiene la información de cada uno de los tipos de estados que puede tener un producto.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179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190</v>
      </c>
      <c r="N7" t="s">
        <v>102</v>
      </c>
      <c r="O7"/>
      <c r="P7" t="s">
        <v>167</v>
      </c>
      <c r="Q7" t="s">
        <v>137</v>
      </c>
      <c r="R7" t="s">
        <v>190</v>
      </c>
      <c r="S7" t="s">
        <v>179</v>
      </c>
      <c r="T7" t="s">
        <v>191</v>
      </c>
    </row>
    <row r="8" spans="1:20">
      <c r="A8" t="s">
        <v>125</v>
      </c>
      <c r="B8" t="s">
        <v>121</v>
      </c>
      <c r="C8">
        <v>50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102</v>
      </c>
      <c r="M8"/>
      <c r="N8" t="s">
        <v>102</v>
      </c>
      <c r="O8"/>
      <c r="P8" t="s">
        <v>167</v>
      </c>
      <c r="Q8"/>
      <c r="R8"/>
      <c r="S8" t="s">
        <v>125</v>
      </c>
      <c r="T8" t="s">
        <v>192</v>
      </c>
    </row>
    <row r="9" spans="1:20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F9472CFA-E7F6-4FEE-B706-40B332497FC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4232-3502-43B1-AACF-EC5FCCBCEFCA}">
  <dimension ref="A1:T28"/>
  <sheetViews>
    <sheetView topLeftCell="O1" zoomScaleNormal="100" workbookViewId="0">
      <pane ySplit="1" topLeftCell="A2" activePane="bottomLeft" state="frozen"/>
      <selection pane="bottomLeft" activeCell="A14" sqref="A14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36.5703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Entidades!A9</f>
        <v>Venta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Entidades!B9</f>
        <v>Entidad que contiene la información de la transaccion comercial en la que un cliente adquiere uno o mas productos o servicios a cambio de un pago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193</v>
      </c>
      <c r="B7" t="s">
        <v>100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194</v>
      </c>
      <c r="N7" t="s">
        <v>102</v>
      </c>
      <c r="O7"/>
      <c r="P7" t="s">
        <v>167</v>
      </c>
      <c r="Q7" t="s">
        <v>104</v>
      </c>
      <c r="R7" t="s">
        <v>194</v>
      </c>
      <c r="S7" t="s">
        <v>195</v>
      </c>
      <c r="T7" t="s">
        <v>196</v>
      </c>
    </row>
    <row r="8" spans="1:20">
      <c r="A8" t="s">
        <v>197</v>
      </c>
      <c r="B8" t="s">
        <v>166</v>
      </c>
      <c r="C8"/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102</v>
      </c>
      <c r="M8"/>
      <c r="N8" t="s">
        <v>102</v>
      </c>
      <c r="O8"/>
      <c r="P8" t="s">
        <v>102</v>
      </c>
      <c r="Q8"/>
      <c r="R8"/>
      <c r="S8" t="s">
        <v>198</v>
      </c>
      <c r="T8" t="s">
        <v>199</v>
      </c>
    </row>
    <row r="9" spans="1:20" ht="14.25" customHeight="1">
      <c r="A9" t="s">
        <v>200</v>
      </c>
      <c r="B9" t="s">
        <v>109</v>
      </c>
      <c r="C9"/>
      <c r="D9"/>
      <c r="E9"/>
      <c r="F9" t="s">
        <v>102</v>
      </c>
      <c r="G9" t="s">
        <v>167</v>
      </c>
      <c r="H9" t="s">
        <v>102</v>
      </c>
      <c r="I9" t="s">
        <v>167</v>
      </c>
      <c r="J9" t="s">
        <v>201</v>
      </c>
      <c r="K9" t="s">
        <v>202</v>
      </c>
      <c r="L9" t="s">
        <v>102</v>
      </c>
      <c r="M9"/>
      <c r="N9" t="s">
        <v>102</v>
      </c>
      <c r="O9"/>
      <c r="P9" t="s">
        <v>167</v>
      </c>
      <c r="Q9" t="s">
        <v>203</v>
      </c>
      <c r="R9" t="s">
        <v>204</v>
      </c>
      <c r="S9" t="s">
        <v>58</v>
      </c>
      <c r="T9" t="s">
        <v>205</v>
      </c>
    </row>
    <row r="10" spans="1:20">
      <c r="A10" t="s">
        <v>206</v>
      </c>
      <c r="B10" t="s">
        <v>117</v>
      </c>
      <c r="C10">
        <v>14</v>
      </c>
      <c r="D10">
        <v>14</v>
      </c>
      <c r="E10">
        <v>2</v>
      </c>
      <c r="F10" t="s">
        <v>102</v>
      </c>
      <c r="G10" t="s">
        <v>167</v>
      </c>
      <c r="H10" t="s">
        <v>102</v>
      </c>
      <c r="I10" t="s">
        <v>102</v>
      </c>
      <c r="J10"/>
      <c r="K10"/>
      <c r="L10" t="s">
        <v>102</v>
      </c>
      <c r="M10"/>
      <c r="N10" t="s">
        <v>167</v>
      </c>
      <c r="O10" t="s">
        <v>207</v>
      </c>
      <c r="P10" t="s">
        <v>102</v>
      </c>
      <c r="Q10"/>
      <c r="R10"/>
      <c r="S10" t="s">
        <v>208</v>
      </c>
      <c r="T10" t="s">
        <v>209</v>
      </c>
    </row>
    <row r="11" spans="1:20">
      <c r="A11" t="s">
        <v>210</v>
      </c>
      <c r="B11" t="s">
        <v>109</v>
      </c>
      <c r="C11"/>
      <c r="D11"/>
      <c r="E11"/>
      <c r="F11" t="s">
        <v>102</v>
      </c>
      <c r="G11" t="s">
        <v>167</v>
      </c>
      <c r="H11" t="s">
        <v>102</v>
      </c>
      <c r="I11" t="s">
        <v>167</v>
      </c>
      <c r="J11" t="s">
        <v>211</v>
      </c>
      <c r="K11" t="s">
        <v>210</v>
      </c>
      <c r="L11" t="s">
        <v>102</v>
      </c>
      <c r="M11"/>
      <c r="N11" t="s">
        <v>102</v>
      </c>
      <c r="O11"/>
      <c r="P11" t="s">
        <v>167</v>
      </c>
      <c r="Q11" t="s">
        <v>203</v>
      </c>
      <c r="R11" t="s">
        <v>212</v>
      </c>
      <c r="S11" t="s">
        <v>213</v>
      </c>
      <c r="T11" t="s">
        <v>214</v>
      </c>
    </row>
    <row r="12" spans="1:20">
      <c r="A12" t="s">
        <v>215</v>
      </c>
      <c r="B12" t="s">
        <v>109</v>
      </c>
      <c r="C12"/>
      <c r="D12"/>
      <c r="E12"/>
      <c r="F12" t="s">
        <v>102</v>
      </c>
      <c r="G12" t="s">
        <v>167</v>
      </c>
      <c r="H12" t="s">
        <v>102</v>
      </c>
      <c r="I12" t="s">
        <v>167</v>
      </c>
      <c r="J12" t="s">
        <v>216</v>
      </c>
      <c r="K12" t="s">
        <v>217</v>
      </c>
      <c r="L12" t="s">
        <v>102</v>
      </c>
      <c r="M12"/>
      <c r="N12" t="s">
        <v>102</v>
      </c>
      <c r="O12"/>
      <c r="P12" t="s">
        <v>167</v>
      </c>
      <c r="Q12" t="s">
        <v>203</v>
      </c>
      <c r="R12" t="s">
        <v>218</v>
      </c>
      <c r="S12" t="s">
        <v>215</v>
      </c>
      <c r="T12" t="s">
        <v>219</v>
      </c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2" spans="1:20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ht="14.2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FF5BCD93-CEF7-4DC5-AC69-8566E675A8D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C05E-6D9A-40BF-8BDE-7347348F4CAD}">
  <dimension ref="A1:T14"/>
  <sheetViews>
    <sheetView topLeftCell="O1" zoomScaleNormal="100" workbookViewId="0">
      <pane ySplit="1" topLeftCell="A2" activePane="bottomLeft" state="frozen"/>
      <selection pane="bottomLeft" activeCell="D16" sqref="D16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29.28515625" style="1" bestFit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Entidades!A7</f>
        <v>Unidad_Medida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Entidades!B7</f>
        <v xml:space="preserve">Entidad que contiene la información de cada unidad de medida que puede tener un producto	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183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220</v>
      </c>
      <c r="N7" t="s">
        <v>102</v>
      </c>
      <c r="O7"/>
      <c r="P7" t="s">
        <v>167</v>
      </c>
      <c r="Q7" t="s">
        <v>137</v>
      </c>
      <c r="R7" t="s">
        <v>220</v>
      </c>
      <c r="S7" t="s">
        <v>183</v>
      </c>
      <c r="T7" t="s">
        <v>221</v>
      </c>
    </row>
    <row r="8" spans="1:20">
      <c r="A8" t="s">
        <v>125</v>
      </c>
      <c r="B8" t="s">
        <v>121</v>
      </c>
      <c r="C8">
        <v>50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102</v>
      </c>
      <c r="M8"/>
      <c r="N8" t="s">
        <v>102</v>
      </c>
      <c r="O8"/>
      <c r="P8" t="s">
        <v>167</v>
      </c>
      <c r="Q8"/>
      <c r="R8"/>
      <c r="S8" t="s">
        <v>125</v>
      </c>
      <c r="T8" t="s">
        <v>222</v>
      </c>
    </row>
    <row r="9" spans="1:20" ht="14.25" customHeight="1">
      <c r="A9" t="s">
        <v>223</v>
      </c>
      <c r="B9" t="s">
        <v>121</v>
      </c>
      <c r="C9">
        <v>10</v>
      </c>
      <c r="D9"/>
      <c r="E9"/>
      <c r="F9" t="s">
        <v>102</v>
      </c>
      <c r="G9" t="s">
        <v>167</v>
      </c>
      <c r="H9" t="s">
        <v>102</v>
      </c>
      <c r="I9" t="s">
        <v>102</v>
      </c>
      <c r="J9"/>
      <c r="K9"/>
      <c r="L9" t="s">
        <v>102</v>
      </c>
      <c r="M9"/>
      <c r="N9" t="s">
        <v>102</v>
      </c>
      <c r="O9"/>
      <c r="P9" t="s">
        <v>167</v>
      </c>
      <c r="Q9"/>
      <c r="R9"/>
      <c r="S9" t="s">
        <v>223</v>
      </c>
      <c r="T9" t="s">
        <v>224</v>
      </c>
    </row>
    <row r="10" spans="1:2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6871BFFC-FD02-44CE-8B62-0767342F462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4E43-18DA-4F4E-8C5F-597FBDF386A0}">
  <dimension ref="A1:T20"/>
  <sheetViews>
    <sheetView topLeftCell="O1" zoomScaleNormal="100" workbookViewId="0">
      <pane ySplit="1" topLeftCell="A7" activePane="bottomLeft" state="frozen"/>
      <selection pane="bottomLeft" activeCell="A2" sqref="A2:T16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7.42578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Entidades!A16</f>
        <v>Detalle_Venta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Entidades!B16</f>
        <v>Entidad que contiene la información del Detalle de productos vendidos por cada venta.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225</v>
      </c>
      <c r="B7" t="s">
        <v>100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102</v>
      </c>
      <c r="M7"/>
      <c r="N7" t="s">
        <v>102</v>
      </c>
      <c r="O7"/>
      <c r="P7" t="s">
        <v>102</v>
      </c>
      <c r="Q7"/>
      <c r="R7"/>
      <c r="S7" t="s">
        <v>225</v>
      </c>
      <c r="T7" t="s">
        <v>226</v>
      </c>
    </row>
    <row r="8" spans="1:20" ht="14.25" customHeight="1">
      <c r="A8" t="s">
        <v>193</v>
      </c>
      <c r="B8" t="s">
        <v>109</v>
      </c>
      <c r="C8"/>
      <c r="D8"/>
      <c r="E8"/>
      <c r="F8" t="s">
        <v>102</v>
      </c>
      <c r="G8" t="s">
        <v>167</v>
      </c>
      <c r="H8" t="s">
        <v>102</v>
      </c>
      <c r="I8" t="s">
        <v>167</v>
      </c>
      <c r="J8" t="s">
        <v>227</v>
      </c>
      <c r="K8" t="s">
        <v>193</v>
      </c>
      <c r="L8" t="s">
        <v>167</v>
      </c>
      <c r="M8" t="s">
        <v>228</v>
      </c>
      <c r="N8" t="s">
        <v>102</v>
      </c>
      <c r="O8"/>
      <c r="P8" t="s">
        <v>167</v>
      </c>
      <c r="Q8" t="s">
        <v>203</v>
      </c>
      <c r="R8" t="s">
        <v>229</v>
      </c>
      <c r="S8" t="s">
        <v>193</v>
      </c>
      <c r="T8" t="s">
        <v>230</v>
      </c>
    </row>
    <row r="9" spans="1:20">
      <c r="A9" t="s">
        <v>171</v>
      </c>
      <c r="B9" t="s">
        <v>109</v>
      </c>
      <c r="C9"/>
      <c r="D9"/>
      <c r="E9"/>
      <c r="F9" t="s">
        <v>102</v>
      </c>
      <c r="G9" t="s">
        <v>167</v>
      </c>
      <c r="H9" t="s">
        <v>102</v>
      </c>
      <c r="I9" t="s">
        <v>167</v>
      </c>
      <c r="J9" t="s">
        <v>111</v>
      </c>
      <c r="K9" t="s">
        <v>171</v>
      </c>
      <c r="L9" t="s">
        <v>167</v>
      </c>
      <c r="M9" t="s">
        <v>228</v>
      </c>
      <c r="N9" t="s">
        <v>102</v>
      </c>
      <c r="O9"/>
      <c r="P9" t="s">
        <v>167</v>
      </c>
      <c r="Q9" t="s">
        <v>203</v>
      </c>
      <c r="R9" t="s">
        <v>231</v>
      </c>
      <c r="S9" t="s">
        <v>171</v>
      </c>
      <c r="T9" t="s">
        <v>232</v>
      </c>
    </row>
    <row r="10" spans="1:20">
      <c r="A10" t="s">
        <v>233</v>
      </c>
      <c r="B10" t="s">
        <v>109</v>
      </c>
      <c r="C10"/>
      <c r="D10"/>
      <c r="E10"/>
      <c r="F10" t="s">
        <v>102</v>
      </c>
      <c r="G10" t="s">
        <v>167</v>
      </c>
      <c r="H10" t="s">
        <v>102</v>
      </c>
      <c r="I10" t="s">
        <v>102</v>
      </c>
      <c r="J10"/>
      <c r="K10"/>
      <c r="L10" t="s">
        <v>102</v>
      </c>
      <c r="M10"/>
      <c r="N10" t="s">
        <v>167</v>
      </c>
      <c r="O10" t="s">
        <v>234</v>
      </c>
      <c r="P10" t="s">
        <v>102</v>
      </c>
      <c r="Q10"/>
      <c r="R10"/>
      <c r="S10" t="s">
        <v>233</v>
      </c>
      <c r="T10" t="s">
        <v>235</v>
      </c>
    </row>
    <row r="11" spans="1:20">
      <c r="A11" t="s">
        <v>236</v>
      </c>
      <c r="B11" t="s">
        <v>117</v>
      </c>
      <c r="C11">
        <v>12</v>
      </c>
      <c r="D11">
        <v>12</v>
      </c>
      <c r="E11">
        <v>2</v>
      </c>
      <c r="F11" t="s">
        <v>102</v>
      </c>
      <c r="G11" t="s">
        <v>167</v>
      </c>
      <c r="H11" t="s">
        <v>102</v>
      </c>
      <c r="I11" t="s">
        <v>102</v>
      </c>
      <c r="J11"/>
      <c r="K11"/>
      <c r="L11" t="s">
        <v>102</v>
      </c>
      <c r="M11"/>
      <c r="N11" t="s">
        <v>167</v>
      </c>
      <c r="O11" t="s">
        <v>237</v>
      </c>
      <c r="P11" t="s">
        <v>102</v>
      </c>
      <c r="Q11"/>
      <c r="R11"/>
      <c r="S11" t="s">
        <v>236</v>
      </c>
      <c r="T11" t="s">
        <v>238</v>
      </c>
    </row>
    <row r="12" spans="1:20">
      <c r="A12" t="s">
        <v>239</v>
      </c>
      <c r="B12" t="s">
        <v>117</v>
      </c>
      <c r="C12">
        <v>14</v>
      </c>
      <c r="D12">
        <v>14</v>
      </c>
      <c r="E12">
        <v>2</v>
      </c>
      <c r="F12" t="s">
        <v>102</v>
      </c>
      <c r="G12" t="s">
        <v>167</v>
      </c>
      <c r="H12" t="s">
        <v>102</v>
      </c>
      <c r="I12" t="s">
        <v>102</v>
      </c>
      <c r="J12"/>
      <c r="K12"/>
      <c r="L12" t="s">
        <v>102</v>
      </c>
      <c r="M12"/>
      <c r="N12" t="s">
        <v>167</v>
      </c>
      <c r="O12" t="s">
        <v>240</v>
      </c>
      <c r="P12" t="s">
        <v>102</v>
      </c>
      <c r="Q12"/>
      <c r="R12"/>
      <c r="S12" t="s">
        <v>239</v>
      </c>
      <c r="T12" t="s">
        <v>241</v>
      </c>
    </row>
    <row r="13" spans="1:20">
      <c r="A13" t="s">
        <v>242</v>
      </c>
      <c r="B13" t="s">
        <v>117</v>
      </c>
      <c r="C13">
        <v>14</v>
      </c>
      <c r="D13">
        <v>14</v>
      </c>
      <c r="E13">
        <v>2</v>
      </c>
      <c r="F13" t="s">
        <v>102</v>
      </c>
      <c r="G13" t="s">
        <v>102</v>
      </c>
      <c r="H13" t="s">
        <v>102</v>
      </c>
      <c r="I13" t="s">
        <v>102</v>
      </c>
      <c r="J13"/>
      <c r="K13"/>
      <c r="L13" t="s">
        <v>102</v>
      </c>
      <c r="M13"/>
      <c r="N13" t="s">
        <v>167</v>
      </c>
      <c r="O13" t="s">
        <v>243</v>
      </c>
      <c r="P13" t="s">
        <v>102</v>
      </c>
      <c r="Q13"/>
      <c r="R13"/>
      <c r="S13" t="s">
        <v>239</v>
      </c>
      <c r="T13" t="s">
        <v>244</v>
      </c>
    </row>
    <row r="14" spans="1:20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B20FDBF6-C102-4D73-9530-E2423BB3FD8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5D8C-DD02-4224-908F-68E8FBE8319F}">
  <dimension ref="A1:T13"/>
  <sheetViews>
    <sheetView topLeftCell="O1"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29.28515625" style="1" bestFit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Entidades!A10</f>
        <v>Estado_Venta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Entidades!B10</f>
        <v xml:space="preserve">Entidad que contiene la información de  los diferentes Estados de venta	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210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245</v>
      </c>
      <c r="N7" t="s">
        <v>102</v>
      </c>
      <c r="O7"/>
      <c r="P7" t="s">
        <v>167</v>
      </c>
      <c r="Q7" t="s">
        <v>137</v>
      </c>
      <c r="R7" t="s">
        <v>245</v>
      </c>
      <c r="S7" t="s">
        <v>210</v>
      </c>
      <c r="T7" t="s">
        <v>246</v>
      </c>
    </row>
    <row r="8" spans="1:20" ht="14.25" customHeight="1">
      <c r="A8" t="s">
        <v>125</v>
      </c>
      <c r="B8" t="s">
        <v>121</v>
      </c>
      <c r="C8">
        <v>50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167</v>
      </c>
      <c r="M8" t="s">
        <v>247</v>
      </c>
      <c r="N8" t="s">
        <v>102</v>
      </c>
      <c r="O8"/>
      <c r="P8" t="s">
        <v>167</v>
      </c>
      <c r="Q8" t="s">
        <v>248</v>
      </c>
      <c r="R8" t="s">
        <v>249</v>
      </c>
      <c r="S8" t="s">
        <v>125</v>
      </c>
      <c r="T8" t="s">
        <v>250</v>
      </c>
    </row>
    <row r="9" spans="1:20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0DFED9BA-5458-40BF-9C88-0AE8E1D3265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CDB1-56B3-4583-9B6B-5E3E8F5775BD}">
  <dimension ref="A1:T24"/>
  <sheetViews>
    <sheetView topLeftCell="O1" zoomScaleNormal="100" workbookViewId="0">
      <pane ySplit="1" topLeftCell="A2" activePane="bottomLeft" state="frozen"/>
      <selection pane="bottomLeft" activeCell="A8" sqref="A8:XFD8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26.570312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2.5703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Entidades!A11</f>
        <v>Pago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Entidades!B11</f>
        <v>Entidad que contiene la información de el pago a una venta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251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252</v>
      </c>
      <c r="N7" t="s">
        <v>102</v>
      </c>
      <c r="O7"/>
      <c r="P7" t="s">
        <v>167</v>
      </c>
      <c r="Q7" t="s">
        <v>137</v>
      </c>
      <c r="R7" t="s">
        <v>252</v>
      </c>
      <c r="S7" t="s">
        <v>251</v>
      </c>
      <c r="T7" t="s">
        <v>253</v>
      </c>
    </row>
    <row r="8" spans="1:20" ht="14.25" customHeight="1">
      <c r="A8" t="s">
        <v>193</v>
      </c>
      <c r="B8" t="s">
        <v>109</v>
      </c>
      <c r="C8"/>
      <c r="D8"/>
      <c r="E8"/>
      <c r="F8" t="s">
        <v>102</v>
      </c>
      <c r="G8" t="s">
        <v>167</v>
      </c>
      <c r="H8" t="s">
        <v>102</v>
      </c>
      <c r="I8" t="s">
        <v>167</v>
      </c>
      <c r="J8" t="s">
        <v>227</v>
      </c>
      <c r="K8" t="s">
        <v>193</v>
      </c>
      <c r="L8" t="s">
        <v>102</v>
      </c>
      <c r="M8"/>
      <c r="N8" t="s">
        <v>102</v>
      </c>
      <c r="O8"/>
      <c r="P8" t="s">
        <v>167</v>
      </c>
      <c r="Q8" t="s">
        <v>203</v>
      </c>
      <c r="R8" t="s">
        <v>254</v>
      </c>
      <c r="S8" t="s">
        <v>193</v>
      </c>
      <c r="T8" t="s">
        <v>255</v>
      </c>
    </row>
    <row r="9" spans="1:20">
      <c r="A9" t="s">
        <v>256</v>
      </c>
      <c r="B9" t="s">
        <v>117</v>
      </c>
      <c r="C9">
        <v>14</v>
      </c>
      <c r="D9">
        <v>14</v>
      </c>
      <c r="E9">
        <v>2</v>
      </c>
      <c r="F9" t="s">
        <v>102</v>
      </c>
      <c r="G9" t="s">
        <v>167</v>
      </c>
      <c r="H9" t="s">
        <v>102</v>
      </c>
      <c r="I9" t="s">
        <v>102</v>
      </c>
      <c r="J9"/>
      <c r="K9"/>
      <c r="L9" t="s">
        <v>102</v>
      </c>
      <c r="M9"/>
      <c r="N9" t="s">
        <v>167</v>
      </c>
      <c r="O9" t="s">
        <v>257</v>
      </c>
      <c r="P9" t="s">
        <v>102</v>
      </c>
      <c r="Q9"/>
      <c r="R9"/>
      <c r="S9" t="s">
        <v>258</v>
      </c>
      <c r="T9" t="s">
        <v>259</v>
      </c>
    </row>
    <row r="10" spans="1:20">
      <c r="A10" t="s">
        <v>260</v>
      </c>
      <c r="B10" t="s">
        <v>109</v>
      </c>
      <c r="C10"/>
      <c r="D10"/>
      <c r="E10"/>
      <c r="F10" t="s">
        <v>102</v>
      </c>
      <c r="G10" t="s">
        <v>167</v>
      </c>
      <c r="H10" t="s">
        <v>102</v>
      </c>
      <c r="I10" t="s">
        <v>167</v>
      </c>
      <c r="J10" t="s">
        <v>261</v>
      </c>
      <c r="K10" t="s">
        <v>260</v>
      </c>
      <c r="L10" t="s">
        <v>102</v>
      </c>
      <c r="M10"/>
      <c r="N10" t="s">
        <v>102</v>
      </c>
      <c r="O10"/>
      <c r="P10" t="s">
        <v>167</v>
      </c>
      <c r="Q10" t="s">
        <v>203</v>
      </c>
      <c r="R10" t="s">
        <v>262</v>
      </c>
      <c r="S10" t="s">
        <v>260</v>
      </c>
      <c r="T10" t="s">
        <v>263</v>
      </c>
    </row>
    <row r="11" spans="1:20">
      <c r="A11" t="s">
        <v>264</v>
      </c>
      <c r="B11" t="s">
        <v>121</v>
      </c>
      <c r="C11">
        <v>250</v>
      </c>
      <c r="D11"/>
      <c r="E11"/>
      <c r="F11" t="s">
        <v>102</v>
      </c>
      <c r="G11" t="s">
        <v>102</v>
      </c>
      <c r="H11" t="s">
        <v>102</v>
      </c>
      <c r="I11" t="s">
        <v>102</v>
      </c>
      <c r="J11"/>
      <c r="K11"/>
      <c r="L11" t="s">
        <v>102</v>
      </c>
      <c r="M11"/>
      <c r="N11" t="s">
        <v>102</v>
      </c>
      <c r="O11"/>
      <c r="P11" t="s">
        <v>102</v>
      </c>
      <c r="Q11"/>
      <c r="R11"/>
      <c r="S11" t="s">
        <v>264</v>
      </c>
      <c r="T11" t="s">
        <v>265</v>
      </c>
    </row>
    <row r="12" spans="1:20">
      <c r="A12" t="s">
        <v>215</v>
      </c>
      <c r="B12" t="s">
        <v>109</v>
      </c>
      <c r="C12"/>
      <c r="D12"/>
      <c r="E12"/>
      <c r="F12" t="s">
        <v>102</v>
      </c>
      <c r="G12" t="s">
        <v>167</v>
      </c>
      <c r="H12" t="s">
        <v>102</v>
      </c>
      <c r="I12" t="s">
        <v>167</v>
      </c>
      <c r="J12" t="s">
        <v>266</v>
      </c>
      <c r="K12" t="s">
        <v>217</v>
      </c>
      <c r="L12" t="s">
        <v>102</v>
      </c>
      <c r="M12"/>
      <c r="N12" t="s">
        <v>102</v>
      </c>
      <c r="O12"/>
      <c r="P12" t="s">
        <v>167</v>
      </c>
      <c r="Q12" t="s">
        <v>203</v>
      </c>
      <c r="R12" t="s">
        <v>267</v>
      </c>
      <c r="S12" t="s">
        <v>215</v>
      </c>
      <c r="T12" t="s">
        <v>268</v>
      </c>
    </row>
    <row r="13" spans="1:20">
      <c r="A13" t="s">
        <v>269</v>
      </c>
      <c r="B13" t="s">
        <v>166</v>
      </c>
      <c r="C13"/>
      <c r="D13"/>
      <c r="E13"/>
      <c r="F13" t="s">
        <v>102</v>
      </c>
      <c r="G13" t="s">
        <v>167</v>
      </c>
      <c r="H13" t="s">
        <v>102</v>
      </c>
      <c r="I13" t="s">
        <v>102</v>
      </c>
      <c r="J13"/>
      <c r="K13"/>
      <c r="L13" t="s">
        <v>102</v>
      </c>
      <c r="M13"/>
      <c r="N13" t="s">
        <v>167</v>
      </c>
      <c r="O13" t="s">
        <v>270</v>
      </c>
      <c r="P13" t="s">
        <v>102</v>
      </c>
      <c r="Q13"/>
      <c r="R13"/>
      <c r="S13" t="s">
        <v>271</v>
      </c>
      <c r="T13" t="s">
        <v>272</v>
      </c>
    </row>
    <row r="15" spans="1:20" ht="14.25" customHeight="1"/>
    <row r="16" spans="1:20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B22A1EAC-C16E-4CF3-A3C2-F73FC40B85A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1C37-4C8C-4F78-B794-7BA867A76A4B}">
  <dimension ref="A1:T13"/>
  <sheetViews>
    <sheetView topLeftCell="O1"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0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Entidades!A12</f>
        <v>Forma_Pago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Entidades!B12</f>
        <v>Entidad que contiene la información de las diferentes formas de pago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260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273</v>
      </c>
      <c r="N7" t="s">
        <v>102</v>
      </c>
      <c r="O7"/>
      <c r="P7" t="s">
        <v>167</v>
      </c>
      <c r="Q7" t="s">
        <v>104</v>
      </c>
      <c r="R7" t="s">
        <v>273</v>
      </c>
      <c r="S7" t="s">
        <v>260</v>
      </c>
      <c r="T7" t="s">
        <v>274</v>
      </c>
    </row>
    <row r="8" spans="1:20" ht="14.25" customHeight="1">
      <c r="A8" t="s">
        <v>125</v>
      </c>
      <c r="B8" t="s">
        <v>121</v>
      </c>
      <c r="C8">
        <v>50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167</v>
      </c>
      <c r="M8" t="s">
        <v>275</v>
      </c>
      <c r="N8" t="s">
        <v>102</v>
      </c>
      <c r="O8"/>
      <c r="P8" t="s">
        <v>167</v>
      </c>
      <c r="Q8" t="s">
        <v>248</v>
      </c>
      <c r="R8" t="s">
        <v>276</v>
      </c>
      <c r="S8" t="s">
        <v>125</v>
      </c>
      <c r="T8" t="s">
        <v>277</v>
      </c>
    </row>
    <row r="9" spans="1:20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84E8CDC1-9494-4CE2-AF0A-64B4AEADB78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7587-9F66-46F4-AB1E-77A3B030EE79}">
  <dimension ref="A1:T11"/>
  <sheetViews>
    <sheetView topLeftCell="O1" zoomScaleNormal="100" workbookViewId="0">
      <pane ySplit="1" topLeftCell="A2" activePane="bottomLeft" state="frozen"/>
      <selection pane="bottomLeft" activeCell="C16" sqref="C16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34" style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20.28515625" style="1" customWidth="1"/>
    <col min="20" max="20" width="39.8554687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Entidades!A13</f>
        <v>Insumo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Entidades!B13</f>
        <v>Entidad que contiene la información de el  producto consumido para una producción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278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279</v>
      </c>
      <c r="N7" t="s">
        <v>102</v>
      </c>
      <c r="O7"/>
      <c r="P7" t="s">
        <v>167</v>
      </c>
      <c r="Q7" t="s">
        <v>104</v>
      </c>
      <c r="R7" t="s">
        <v>280</v>
      </c>
      <c r="S7" t="s">
        <v>278</v>
      </c>
      <c r="T7" t="s">
        <v>281</v>
      </c>
    </row>
    <row r="8" spans="1:20">
      <c r="A8" t="s">
        <v>171</v>
      </c>
      <c r="B8" t="s">
        <v>109</v>
      </c>
      <c r="C8"/>
      <c r="D8"/>
      <c r="E8"/>
      <c r="F8" t="s">
        <v>102</v>
      </c>
      <c r="G8" t="s">
        <v>167</v>
      </c>
      <c r="H8" t="s">
        <v>102</v>
      </c>
      <c r="I8" t="s">
        <v>167</v>
      </c>
      <c r="J8" t="s">
        <v>111</v>
      </c>
      <c r="K8" t="s">
        <v>171</v>
      </c>
      <c r="L8" t="s">
        <v>102</v>
      </c>
      <c r="M8"/>
      <c r="N8" t="s">
        <v>167</v>
      </c>
      <c r="O8" t="s">
        <v>282</v>
      </c>
      <c r="P8" t="s">
        <v>167</v>
      </c>
      <c r="Q8" t="s">
        <v>203</v>
      </c>
      <c r="R8" t="s">
        <v>282</v>
      </c>
      <c r="S8" t="s">
        <v>171</v>
      </c>
      <c r="T8" t="s">
        <v>283</v>
      </c>
    </row>
    <row r="9" spans="1:20">
      <c r="A9" t="s">
        <v>284</v>
      </c>
      <c r="B9" t="s">
        <v>109</v>
      </c>
      <c r="C9"/>
      <c r="D9"/>
      <c r="E9"/>
      <c r="F9" t="s">
        <v>102</v>
      </c>
      <c r="G9" t="s">
        <v>167</v>
      </c>
      <c r="H9" t="s">
        <v>102</v>
      </c>
      <c r="I9" t="s">
        <v>167</v>
      </c>
      <c r="J9" t="s">
        <v>285</v>
      </c>
      <c r="K9" t="s">
        <v>284</v>
      </c>
      <c r="L9" t="s">
        <v>102</v>
      </c>
      <c r="M9"/>
      <c r="N9" t="s">
        <v>167</v>
      </c>
      <c r="O9" t="s">
        <v>286</v>
      </c>
      <c r="P9" t="s">
        <v>167</v>
      </c>
      <c r="Q9" t="s">
        <v>203</v>
      </c>
      <c r="R9" t="s">
        <v>286</v>
      </c>
      <c r="S9" t="s">
        <v>284</v>
      </c>
      <c r="T9" t="s">
        <v>287</v>
      </c>
    </row>
    <row r="10" spans="1:20">
      <c r="A10" t="s">
        <v>288</v>
      </c>
      <c r="B10" t="s">
        <v>109</v>
      </c>
      <c r="C10"/>
      <c r="D10"/>
      <c r="E10"/>
      <c r="F10" t="s">
        <v>102</v>
      </c>
      <c r="G10" t="s">
        <v>167</v>
      </c>
      <c r="H10" t="s">
        <v>102</v>
      </c>
      <c r="I10" t="s">
        <v>102</v>
      </c>
      <c r="J10"/>
      <c r="K10"/>
      <c r="L10" t="s">
        <v>102</v>
      </c>
      <c r="M10"/>
      <c r="N10" t="s">
        <v>167</v>
      </c>
      <c r="O10" t="s">
        <v>289</v>
      </c>
      <c r="P10" t="s">
        <v>167</v>
      </c>
      <c r="Q10"/>
      <c r="R10"/>
      <c r="S10" t="s">
        <v>288</v>
      </c>
      <c r="T10" t="s">
        <v>290</v>
      </c>
    </row>
    <row r="11" spans="1:20">
      <c r="A11" t="s">
        <v>165</v>
      </c>
      <c r="B11" t="s">
        <v>166</v>
      </c>
      <c r="C11"/>
      <c r="D11"/>
      <c r="E11"/>
      <c r="F11" t="s">
        <v>102</v>
      </c>
      <c r="G11" t="s">
        <v>167</v>
      </c>
      <c r="H11" t="s">
        <v>102</v>
      </c>
      <c r="I11" t="s">
        <v>102</v>
      </c>
      <c r="J11"/>
      <c r="K11"/>
      <c r="L11" t="s">
        <v>102</v>
      </c>
      <c r="M11"/>
      <c r="N11" t="s">
        <v>102</v>
      </c>
      <c r="O11"/>
      <c r="P11" t="s">
        <v>167</v>
      </c>
      <c r="Q11"/>
      <c r="R11"/>
      <c r="S11" t="s">
        <v>165</v>
      </c>
      <c r="T11" t="s">
        <v>291</v>
      </c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A7639390-6D05-4294-B567-66AE682A6E2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D3"/>
  <sheetViews>
    <sheetView workbookViewId="0">
      <selection activeCell="D3" sqref="D3"/>
    </sheetView>
  </sheetViews>
  <sheetFormatPr defaultColWidth="11.42578125" defaultRowHeight="15"/>
  <cols>
    <col min="1" max="1" width="12.42578125" bestFit="1" customWidth="1"/>
    <col min="2" max="2" width="13.28515625" bestFit="1" customWidth="1"/>
  </cols>
  <sheetData>
    <row r="1" spans="1:4">
      <c r="A1" t="s">
        <v>292</v>
      </c>
      <c r="B1" t="s">
        <v>293</v>
      </c>
      <c r="C1" t="s">
        <v>132</v>
      </c>
      <c r="D1" t="s">
        <v>294</v>
      </c>
    </row>
    <row r="2" spans="1:4">
      <c r="A2" t="s">
        <v>295</v>
      </c>
      <c r="B2" t="s">
        <v>296</v>
      </c>
      <c r="C2" t="s">
        <v>101</v>
      </c>
      <c r="D2" t="s">
        <v>143</v>
      </c>
    </row>
    <row r="3" spans="1:4">
      <c r="A3" t="s">
        <v>297</v>
      </c>
      <c r="C3" t="s">
        <v>102</v>
      </c>
      <c r="D3" t="s">
        <v>298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BC5C-5195-4925-8F11-F7FEADE55057}">
  <dimension ref="A1:T20"/>
  <sheetViews>
    <sheetView topLeftCell="O1" zoomScaleNormal="100" workbookViewId="0">
      <pane ySplit="1" topLeftCell="A2" activePane="bottomLeft" state="frozen"/>
      <selection pane="bottomLeft" activeCell="A2" sqref="A2:T12"/>
    </sheetView>
  </sheetViews>
  <sheetFormatPr defaultColWidth="19.7109375" defaultRowHeight="15"/>
  <cols>
    <col min="1" max="1" width="24.71093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30.28515625" style="1" customWidth="1"/>
    <col min="20" max="20" width="46.710937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Entidades!A14</f>
        <v>Abastecimiento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Entidades!B14</f>
        <v>Entidad que contiene la información del Proceso y registro de la adquisición interna de insumos para producción. Documenta las órdenes de compra, fechas de entrega, cantidades solicitadas y precios que alimentaran el Inventario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299</v>
      </c>
      <c r="B7" t="s">
        <v>100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300</v>
      </c>
      <c r="N7" t="s">
        <v>102</v>
      </c>
      <c r="O7"/>
      <c r="P7" t="s">
        <v>167</v>
      </c>
      <c r="Q7" t="s">
        <v>104</v>
      </c>
      <c r="R7" t="s">
        <v>300</v>
      </c>
      <c r="S7" t="s">
        <v>301</v>
      </c>
      <c r="T7" t="s">
        <v>302</v>
      </c>
    </row>
    <row r="8" spans="1:20" ht="14.25" customHeight="1">
      <c r="A8" t="s">
        <v>303</v>
      </c>
      <c r="B8" t="s">
        <v>109</v>
      </c>
      <c r="C8"/>
      <c r="D8"/>
      <c r="E8"/>
      <c r="F8" t="s">
        <v>102</v>
      </c>
      <c r="G8" t="s">
        <v>167</v>
      </c>
      <c r="H8" t="s">
        <v>102</v>
      </c>
      <c r="I8" t="s">
        <v>167</v>
      </c>
      <c r="J8" t="s">
        <v>304</v>
      </c>
      <c r="K8" t="s">
        <v>305</v>
      </c>
      <c r="L8" t="s">
        <v>102</v>
      </c>
      <c r="M8"/>
      <c r="N8" t="s">
        <v>102</v>
      </c>
      <c r="O8"/>
      <c r="P8" t="s">
        <v>167</v>
      </c>
      <c r="Q8" t="s">
        <v>203</v>
      </c>
      <c r="R8" t="s">
        <v>306</v>
      </c>
      <c r="S8" t="s">
        <v>62</v>
      </c>
      <c r="T8" t="s">
        <v>307</v>
      </c>
    </row>
    <row r="9" spans="1:20">
      <c r="A9" t="s">
        <v>308</v>
      </c>
      <c r="B9" t="s">
        <v>121</v>
      </c>
      <c r="C9">
        <v>50</v>
      </c>
      <c r="D9"/>
      <c r="E9"/>
      <c r="F9" t="s">
        <v>102</v>
      </c>
      <c r="G9" t="s">
        <v>102</v>
      </c>
      <c r="H9" t="s">
        <v>102</v>
      </c>
      <c r="I9" t="s">
        <v>102</v>
      </c>
      <c r="J9"/>
      <c r="K9"/>
      <c r="L9" t="s">
        <v>102</v>
      </c>
      <c r="M9"/>
      <c r="N9" t="s">
        <v>167</v>
      </c>
      <c r="O9" t="s">
        <v>309</v>
      </c>
      <c r="P9" t="s">
        <v>102</v>
      </c>
      <c r="Q9"/>
      <c r="R9"/>
      <c r="S9" t="s">
        <v>310</v>
      </c>
      <c r="T9" t="s">
        <v>311</v>
      </c>
    </row>
    <row r="10" spans="1:20">
      <c r="A10" t="s">
        <v>312</v>
      </c>
      <c r="B10" t="s">
        <v>166</v>
      </c>
      <c r="C10"/>
      <c r="D10"/>
      <c r="E10"/>
      <c r="F10" t="s">
        <v>102</v>
      </c>
      <c r="G10" t="s">
        <v>167</v>
      </c>
      <c r="H10" t="s">
        <v>102</v>
      </c>
      <c r="I10" t="s">
        <v>102</v>
      </c>
      <c r="J10"/>
      <c r="K10"/>
      <c r="L10" t="s">
        <v>102</v>
      </c>
      <c r="M10"/>
      <c r="N10" t="s">
        <v>167</v>
      </c>
      <c r="O10" t="s">
        <v>313</v>
      </c>
      <c r="P10" t="s">
        <v>102</v>
      </c>
      <c r="Q10"/>
      <c r="R10"/>
      <c r="S10" t="s">
        <v>169</v>
      </c>
      <c r="T10" t="s">
        <v>314</v>
      </c>
    </row>
    <row r="11" spans="1:20">
      <c r="A11" t="s">
        <v>315</v>
      </c>
      <c r="B11" t="s">
        <v>117</v>
      </c>
      <c r="C11">
        <v>14</v>
      </c>
      <c r="D11">
        <v>14</v>
      </c>
      <c r="E11">
        <v>2</v>
      </c>
      <c r="F11" t="s">
        <v>102</v>
      </c>
      <c r="G11" t="s">
        <v>167</v>
      </c>
      <c r="H11" t="s">
        <v>102</v>
      </c>
      <c r="I11" t="s">
        <v>102</v>
      </c>
      <c r="J11"/>
      <c r="K11"/>
      <c r="L11" t="s">
        <v>102</v>
      </c>
      <c r="M11"/>
      <c r="N11" t="s">
        <v>167</v>
      </c>
      <c r="O11" t="s">
        <v>316</v>
      </c>
      <c r="P11" t="s">
        <v>102</v>
      </c>
      <c r="Q11"/>
      <c r="R11"/>
      <c r="S11" t="s">
        <v>317</v>
      </c>
      <c r="T11" t="s">
        <v>318</v>
      </c>
    </row>
    <row r="12" spans="1:20">
      <c r="A12" s="1" t="s">
        <v>319</v>
      </c>
      <c r="B12" s="1" t="s">
        <v>320</v>
      </c>
      <c r="F12" s="1" t="s">
        <v>102</v>
      </c>
      <c r="G12" s="1" t="s">
        <v>101</v>
      </c>
      <c r="H12" s="1" t="s">
        <v>102</v>
      </c>
      <c r="I12" s="1" t="s">
        <v>102</v>
      </c>
      <c r="L12" s="1" t="s">
        <v>102</v>
      </c>
      <c r="N12" s="1" t="s">
        <v>102</v>
      </c>
      <c r="P12" s="1" t="s">
        <v>102</v>
      </c>
      <c r="S12" s="1" t="s">
        <v>321</v>
      </c>
      <c r="T12" s="1" t="s">
        <v>322</v>
      </c>
    </row>
    <row r="13" spans="1:20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09AFCE92-3A4D-4219-B58A-91710B088FCC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6813-B517-4B37-A6A6-199C21812AB5}">
  <dimension ref="A1:T13"/>
  <sheetViews>
    <sheetView topLeftCell="O1" zoomScaleNormal="100" workbookViewId="0">
      <pane ySplit="1" topLeftCell="A2" activePane="bottomLeft" state="frozen"/>
      <selection pane="bottomLeft" activeCell="A2" sqref="A2:U14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20" style="1" customWidth="1"/>
    <col min="20" max="20" width="43.42578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Entidades!A18</f>
        <v>Detalle_Abastecimiento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Entidades!B18</f>
        <v>Entidad que contiene la información de cada abastecimiento con los productos adquiridos.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323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324</v>
      </c>
      <c r="N7" t="s">
        <v>102</v>
      </c>
      <c r="O7"/>
      <c r="P7" t="s">
        <v>167</v>
      </c>
      <c r="Q7" t="s">
        <v>104</v>
      </c>
      <c r="R7" t="s">
        <v>325</v>
      </c>
      <c r="S7" t="s">
        <v>326</v>
      </c>
      <c r="T7" t="s">
        <v>327</v>
      </c>
    </row>
    <row r="8" spans="1:20">
      <c r="A8" t="s">
        <v>299</v>
      </c>
      <c r="B8" t="s">
        <v>109</v>
      </c>
      <c r="C8"/>
      <c r="D8"/>
      <c r="E8"/>
      <c r="F8" t="s">
        <v>102</v>
      </c>
      <c r="G8" t="s">
        <v>167</v>
      </c>
      <c r="H8" t="s">
        <v>167</v>
      </c>
      <c r="I8" t="s">
        <v>167</v>
      </c>
      <c r="J8" t="s">
        <v>328</v>
      </c>
      <c r="K8" t="s">
        <v>299</v>
      </c>
      <c r="L8" t="s">
        <v>102</v>
      </c>
      <c r="M8"/>
      <c r="N8" t="s">
        <v>102</v>
      </c>
      <c r="O8"/>
      <c r="P8" t="s">
        <v>167</v>
      </c>
      <c r="Q8" t="s">
        <v>203</v>
      </c>
      <c r="R8" t="s">
        <v>329</v>
      </c>
      <c r="S8" t="s">
        <v>299</v>
      </c>
      <c r="T8" t="s">
        <v>330</v>
      </c>
    </row>
    <row r="9" spans="1:20">
      <c r="A9" t="s">
        <v>171</v>
      </c>
      <c r="B9" t="s">
        <v>109</v>
      </c>
      <c r="C9"/>
      <c r="D9"/>
      <c r="E9"/>
      <c r="F9" t="s">
        <v>102</v>
      </c>
      <c r="G9" t="s">
        <v>167</v>
      </c>
      <c r="H9" t="s">
        <v>167</v>
      </c>
      <c r="I9" t="s">
        <v>167</v>
      </c>
      <c r="J9" t="s">
        <v>111</v>
      </c>
      <c r="K9" t="s">
        <v>171</v>
      </c>
      <c r="L9" t="s">
        <v>102</v>
      </c>
      <c r="M9"/>
      <c r="N9" t="s">
        <v>102</v>
      </c>
      <c r="O9"/>
      <c r="P9" t="s">
        <v>167</v>
      </c>
      <c r="Q9" t="s">
        <v>203</v>
      </c>
      <c r="R9" t="s">
        <v>331</v>
      </c>
      <c r="S9" t="s">
        <v>171</v>
      </c>
      <c r="T9" t="s">
        <v>332</v>
      </c>
    </row>
    <row r="10" spans="1:20">
      <c r="A10" t="s">
        <v>233</v>
      </c>
      <c r="B10" t="s">
        <v>109</v>
      </c>
      <c r="C10"/>
      <c r="D10"/>
      <c r="E10"/>
      <c r="F10" t="s">
        <v>102</v>
      </c>
      <c r="G10" t="s">
        <v>167</v>
      </c>
      <c r="H10" t="s">
        <v>102</v>
      </c>
      <c r="I10" t="s">
        <v>102</v>
      </c>
      <c r="J10"/>
      <c r="K10"/>
      <c r="L10" t="s">
        <v>102</v>
      </c>
      <c r="M10"/>
      <c r="N10" t="s">
        <v>167</v>
      </c>
      <c r="O10" t="s">
        <v>333</v>
      </c>
      <c r="P10" t="s">
        <v>102</v>
      </c>
      <c r="Q10"/>
      <c r="R10"/>
      <c r="S10" t="s">
        <v>233</v>
      </c>
      <c r="T10" t="s">
        <v>334</v>
      </c>
    </row>
    <row r="11" spans="1:20">
      <c r="A11" t="s">
        <v>335</v>
      </c>
      <c r="B11" t="s">
        <v>336</v>
      </c>
      <c r="C11"/>
      <c r="D11">
        <v>12</v>
      </c>
      <c r="E11">
        <v>2</v>
      </c>
      <c r="F11" t="s">
        <v>102</v>
      </c>
      <c r="G11" t="s">
        <v>167</v>
      </c>
      <c r="H11" t="s">
        <v>102</v>
      </c>
      <c r="I11" t="s">
        <v>102</v>
      </c>
      <c r="J11"/>
      <c r="K11"/>
      <c r="L11" t="s">
        <v>102</v>
      </c>
      <c r="M11"/>
      <c r="N11" t="s">
        <v>167</v>
      </c>
      <c r="O11" t="s">
        <v>337</v>
      </c>
      <c r="P11" t="s">
        <v>102</v>
      </c>
      <c r="Q11"/>
      <c r="R11"/>
      <c r="S11" t="s">
        <v>236</v>
      </c>
      <c r="T11" t="s">
        <v>338</v>
      </c>
    </row>
    <row r="12" spans="1:20">
      <c r="A12" t="s">
        <v>239</v>
      </c>
      <c r="B12" t="s">
        <v>117</v>
      </c>
      <c r="C12">
        <v>14</v>
      </c>
      <c r="D12">
        <v>14</v>
      </c>
      <c r="E12">
        <v>2</v>
      </c>
      <c r="F12" t="s">
        <v>102</v>
      </c>
      <c r="G12" t="s">
        <v>167</v>
      </c>
      <c r="H12" t="s">
        <v>102</v>
      </c>
      <c r="I12" t="s">
        <v>102</v>
      </c>
      <c r="J12"/>
      <c r="K12"/>
      <c r="L12" t="s">
        <v>102</v>
      </c>
      <c r="M12"/>
      <c r="N12" t="s">
        <v>167</v>
      </c>
      <c r="O12" t="s">
        <v>339</v>
      </c>
      <c r="P12" t="s">
        <v>102</v>
      </c>
      <c r="Q12"/>
      <c r="R12"/>
      <c r="S12" t="s">
        <v>239</v>
      </c>
      <c r="T12" t="s">
        <v>241</v>
      </c>
    </row>
    <row r="13" spans="1:20">
      <c r="A13" t="s">
        <v>242</v>
      </c>
      <c r="B13" t="s">
        <v>117</v>
      </c>
      <c r="C13">
        <v>14</v>
      </c>
      <c r="D13">
        <v>14</v>
      </c>
      <c r="E13">
        <v>2</v>
      </c>
      <c r="F13" t="s">
        <v>102</v>
      </c>
      <c r="G13" t="s">
        <v>102</v>
      </c>
      <c r="H13" t="s">
        <v>102</v>
      </c>
      <c r="I13" t="s">
        <v>102</v>
      </c>
      <c r="J13"/>
      <c r="K13"/>
      <c r="L13" t="s">
        <v>102</v>
      </c>
      <c r="M13"/>
      <c r="N13" t="s">
        <v>167</v>
      </c>
      <c r="O13" t="s">
        <v>340</v>
      </c>
      <c r="P13" t="s">
        <v>102</v>
      </c>
      <c r="Q13"/>
      <c r="R13"/>
      <c r="S13" t="s">
        <v>239</v>
      </c>
      <c r="T13" t="s">
        <v>244</v>
      </c>
    </row>
  </sheetData>
  <mergeCells count="18"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</mergeCells>
  <hyperlinks>
    <hyperlink ref="A1:E1" location="'Entidades'!A1" display="&lt;-Volver al inicio" xr:uid="{9C6F3A4F-9195-4EDB-AE1D-617A2602B54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A43-1824-4B32-976D-D5B90DA10302}">
  <dimension ref="A1:T35"/>
  <sheetViews>
    <sheetView topLeftCell="O1" zoomScaleNormal="100" workbookViewId="0">
      <pane ySplit="1" topLeftCell="A2" activePane="bottomLeft" state="frozen"/>
      <selection pane="bottomLeft" activeCell="A2" sqref="A2:T21"/>
    </sheetView>
  </sheetViews>
  <sheetFormatPr defaultColWidth="19.7109375" defaultRowHeight="15"/>
  <cols>
    <col min="1" max="1" width="21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39" style="1" customWidth="1"/>
    <col min="21" max="16384" width="19.7109375" style="1"/>
  </cols>
  <sheetData>
    <row r="1" spans="1:20" ht="15.75" thickBot="1">
      <c r="A1" s="65" t="s">
        <v>74</v>
      </c>
      <c r="B1" s="65"/>
      <c r="C1" s="65"/>
      <c r="D1" s="65"/>
      <c r="E1" s="65"/>
    </row>
    <row r="2" spans="1:20" ht="13.5" customHeight="1">
      <c r="A2" s="5" t="str">
        <f>Entidades!$A$1</f>
        <v>Entidad</v>
      </c>
      <c r="B2" s="51" t="str">
        <f>Entidades!A19</f>
        <v>Usuario</v>
      </c>
      <c r="C2" s="51"/>
      <c r="D2" s="51"/>
      <c r="E2" s="52"/>
    </row>
    <row r="3" spans="1:20" ht="15.75" thickBot="1">
      <c r="A3" s="6" t="str">
        <f>Entidades!$B$1</f>
        <v>Descripción</v>
      </c>
      <c r="B3" s="53" t="str">
        <f>Entidades!B19</f>
        <v>Entidad que contiene la información de Usuarios con acceso a la plataforma (Administrador , trabajador.)</v>
      </c>
      <c r="C3" s="53"/>
      <c r="D3" s="53"/>
      <c r="E3" s="54"/>
    </row>
    <row r="4" spans="1:20" ht="15.75" thickBot="1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341</v>
      </c>
      <c r="B7" t="s">
        <v>100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342</v>
      </c>
      <c r="N7" t="s">
        <v>102</v>
      </c>
      <c r="O7"/>
      <c r="P7" t="s">
        <v>167</v>
      </c>
      <c r="Q7" t="s">
        <v>137</v>
      </c>
      <c r="R7" t="s">
        <v>343</v>
      </c>
      <c r="S7" t="s">
        <v>217</v>
      </c>
      <c r="T7" t="s">
        <v>344</v>
      </c>
    </row>
    <row r="8" spans="1:20">
      <c r="A8" t="s">
        <v>345</v>
      </c>
      <c r="B8" t="s">
        <v>121</v>
      </c>
      <c r="C8">
        <v>100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102</v>
      </c>
      <c r="M8"/>
      <c r="N8" t="s">
        <v>101</v>
      </c>
      <c r="O8" t="s">
        <v>346</v>
      </c>
      <c r="P8" t="s">
        <v>102</v>
      </c>
      <c r="Q8"/>
      <c r="R8"/>
      <c r="S8" t="s">
        <v>347</v>
      </c>
      <c r="T8" t="s">
        <v>348</v>
      </c>
    </row>
    <row r="9" spans="1:20">
      <c r="A9" t="s">
        <v>349</v>
      </c>
      <c r="B9" t="s">
        <v>121</v>
      </c>
      <c r="C9">
        <v>100</v>
      </c>
      <c r="D9"/>
      <c r="E9"/>
      <c r="F9" t="s">
        <v>102</v>
      </c>
      <c r="G9" t="s">
        <v>102</v>
      </c>
      <c r="H9" t="s">
        <v>102</v>
      </c>
      <c r="I9" t="s">
        <v>102</v>
      </c>
      <c r="J9"/>
      <c r="K9"/>
      <c r="L9" t="s">
        <v>102</v>
      </c>
      <c r="M9"/>
      <c r="N9" t="s">
        <v>102</v>
      </c>
      <c r="O9"/>
      <c r="P9" t="s">
        <v>102</v>
      </c>
      <c r="Q9"/>
      <c r="R9"/>
      <c r="S9" t="s">
        <v>350</v>
      </c>
      <c r="T9" t="s">
        <v>351</v>
      </c>
    </row>
    <row r="10" spans="1:20">
      <c r="A10" t="s">
        <v>352</v>
      </c>
      <c r="B10" t="s">
        <v>121</v>
      </c>
      <c r="C10">
        <v>100</v>
      </c>
      <c r="D10"/>
      <c r="E10"/>
      <c r="F10" t="s">
        <v>102</v>
      </c>
      <c r="G10" t="s">
        <v>167</v>
      </c>
      <c r="H10" t="s">
        <v>102</v>
      </c>
      <c r="I10" t="s">
        <v>102</v>
      </c>
      <c r="J10"/>
      <c r="K10"/>
      <c r="L10" t="s">
        <v>102</v>
      </c>
      <c r="M10"/>
      <c r="N10" t="s">
        <v>101</v>
      </c>
      <c r="O10" t="s">
        <v>353</v>
      </c>
      <c r="P10" t="s">
        <v>102</v>
      </c>
      <c r="Q10"/>
      <c r="R10"/>
      <c r="S10" t="s">
        <v>354</v>
      </c>
      <c r="T10" t="s">
        <v>355</v>
      </c>
    </row>
    <row r="11" spans="1:20">
      <c r="A11" t="s">
        <v>356</v>
      </c>
      <c r="B11" t="s">
        <v>121</v>
      </c>
      <c r="C11">
        <v>100</v>
      </c>
      <c r="D11"/>
      <c r="E11"/>
      <c r="F11" t="s">
        <v>102</v>
      </c>
      <c r="G11" t="s">
        <v>102</v>
      </c>
      <c r="H11" t="s">
        <v>102</v>
      </c>
      <c r="I11" t="s">
        <v>102</v>
      </c>
      <c r="J11"/>
      <c r="K11"/>
      <c r="L11" t="s">
        <v>102</v>
      </c>
      <c r="M11"/>
      <c r="N11" t="s">
        <v>102</v>
      </c>
      <c r="O11"/>
      <c r="P11" t="s">
        <v>102</v>
      </c>
      <c r="Q11"/>
      <c r="R11"/>
      <c r="S11" t="s">
        <v>357</v>
      </c>
      <c r="T11" t="s">
        <v>358</v>
      </c>
    </row>
    <row r="12" spans="1:20">
      <c r="A12" t="s">
        <v>359</v>
      </c>
      <c r="B12" t="s">
        <v>109</v>
      </c>
      <c r="C12"/>
      <c r="D12"/>
      <c r="E12"/>
      <c r="F12" t="s">
        <v>102</v>
      </c>
      <c r="G12" t="s">
        <v>167</v>
      </c>
      <c r="H12" t="s">
        <v>102</v>
      </c>
      <c r="I12" t="s">
        <v>167</v>
      </c>
      <c r="J12" t="s">
        <v>359</v>
      </c>
      <c r="K12" t="s">
        <v>360</v>
      </c>
      <c r="L12" t="s">
        <v>102</v>
      </c>
      <c r="M12"/>
      <c r="N12" t="s">
        <v>102</v>
      </c>
      <c r="O12"/>
      <c r="P12" t="s">
        <v>167</v>
      </c>
      <c r="Q12"/>
      <c r="R12"/>
      <c r="S12" t="s">
        <v>361</v>
      </c>
      <c r="T12" t="s">
        <v>362</v>
      </c>
    </row>
    <row r="13" spans="1:20">
      <c r="A13" t="s">
        <v>363</v>
      </c>
      <c r="B13" t="s">
        <v>121</v>
      </c>
      <c r="C13">
        <v>50</v>
      </c>
      <c r="D13"/>
      <c r="E13"/>
      <c r="F13" t="s">
        <v>102</v>
      </c>
      <c r="G13" t="s">
        <v>167</v>
      </c>
      <c r="H13" t="s">
        <v>102</v>
      </c>
      <c r="I13" t="s">
        <v>102</v>
      </c>
      <c r="J13"/>
      <c r="K13"/>
      <c r="L13" t="s">
        <v>167</v>
      </c>
      <c r="M13" t="s">
        <v>364</v>
      </c>
      <c r="N13" t="s">
        <v>102</v>
      </c>
      <c r="O13"/>
      <c r="P13" t="s">
        <v>167</v>
      </c>
      <c r="Q13" t="s">
        <v>365</v>
      </c>
      <c r="R13" t="s">
        <v>366</v>
      </c>
      <c r="S13" t="s">
        <v>367</v>
      </c>
      <c r="T13" t="s">
        <v>368</v>
      </c>
    </row>
    <row r="14" spans="1:20">
      <c r="A14" t="s">
        <v>369</v>
      </c>
      <c r="B14" t="s">
        <v>121</v>
      </c>
      <c r="C14">
        <v>15</v>
      </c>
      <c r="D14"/>
      <c r="E14"/>
      <c r="F14" t="s">
        <v>102</v>
      </c>
      <c r="G14" t="s">
        <v>102</v>
      </c>
      <c r="H14" t="s">
        <v>102</v>
      </c>
      <c r="I14" t="s">
        <v>102</v>
      </c>
      <c r="J14"/>
      <c r="K14"/>
      <c r="L14" t="s">
        <v>102</v>
      </c>
      <c r="M14"/>
      <c r="N14" t="s">
        <v>102</v>
      </c>
      <c r="O14"/>
      <c r="P14" t="s">
        <v>102</v>
      </c>
      <c r="Q14"/>
      <c r="R14"/>
      <c r="S14" t="s">
        <v>369</v>
      </c>
      <c r="T14" t="s">
        <v>370</v>
      </c>
    </row>
    <row r="15" spans="1:20">
      <c r="A15" t="s">
        <v>371</v>
      </c>
      <c r="B15" t="s">
        <v>121</v>
      </c>
      <c r="C15">
        <v>250</v>
      </c>
      <c r="D15"/>
      <c r="E15"/>
      <c r="F15" t="s">
        <v>102</v>
      </c>
      <c r="G15" t="s">
        <v>167</v>
      </c>
      <c r="H15" t="s">
        <v>102</v>
      </c>
      <c r="I15" t="s">
        <v>102</v>
      </c>
      <c r="J15"/>
      <c r="K15"/>
      <c r="L15" t="s">
        <v>167</v>
      </c>
      <c r="M15" s="9" t="s">
        <v>372</v>
      </c>
      <c r="N15" t="s">
        <v>101</v>
      </c>
      <c r="O15" s="9" t="s">
        <v>373</v>
      </c>
      <c r="P15" t="s">
        <v>167</v>
      </c>
      <c r="Q15" s="9" t="s">
        <v>365</v>
      </c>
      <c r="R15" t="s">
        <v>374</v>
      </c>
      <c r="S15" s="9" t="s">
        <v>375</v>
      </c>
      <c r="T15" t="s">
        <v>376</v>
      </c>
    </row>
    <row r="16" spans="1:20">
      <c r="A16" t="s">
        <v>165</v>
      </c>
      <c r="B16" t="s">
        <v>166</v>
      </c>
      <c r="C16"/>
      <c r="D16"/>
      <c r="E16"/>
      <c r="F16" t="s">
        <v>102</v>
      </c>
      <c r="G16" t="s">
        <v>167</v>
      </c>
      <c r="H16" t="s">
        <v>102</v>
      </c>
      <c r="I16" t="s">
        <v>102</v>
      </c>
      <c r="J16"/>
      <c r="K16"/>
      <c r="L16" t="s">
        <v>102</v>
      </c>
      <c r="M16"/>
      <c r="N16" t="s">
        <v>102</v>
      </c>
      <c r="O16"/>
      <c r="P16" t="s">
        <v>102</v>
      </c>
      <c r="Q16"/>
      <c r="R16"/>
      <c r="S16" t="s">
        <v>377</v>
      </c>
      <c r="T16" t="s">
        <v>378</v>
      </c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20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s="20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'Entidades'!A1" display="&lt;-Volver al inicio" xr:uid="{69C95070-B37A-4E97-8F6F-DC0292729174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6104-654D-4E12-94DB-E70186FEB308}">
  <dimension ref="A1:T28"/>
  <sheetViews>
    <sheetView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1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39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Entidades!A19</f>
        <v>Usuario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Entidades!B19</f>
        <v>Entidad que contiene la información de Usuarios con acceso a la plataforma (Administrador , trabajador.)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341</v>
      </c>
      <c r="B7" t="s">
        <v>100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342</v>
      </c>
      <c r="N7" t="s">
        <v>102</v>
      </c>
      <c r="O7"/>
      <c r="P7" t="s">
        <v>167</v>
      </c>
      <c r="Q7" t="s">
        <v>137</v>
      </c>
      <c r="R7" t="s">
        <v>342</v>
      </c>
      <c r="S7" t="s">
        <v>217</v>
      </c>
      <c r="T7" t="s">
        <v>379</v>
      </c>
    </row>
    <row r="8" spans="1:20" ht="14.25" customHeight="1">
      <c r="A8" t="s">
        <v>380</v>
      </c>
      <c r="B8" t="s">
        <v>121</v>
      </c>
      <c r="C8">
        <v>20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167</v>
      </c>
      <c r="M8" t="s">
        <v>381</v>
      </c>
      <c r="N8" t="s">
        <v>101</v>
      </c>
      <c r="O8" t="s">
        <v>382</v>
      </c>
      <c r="P8" t="s">
        <v>167</v>
      </c>
      <c r="Q8" s="9" t="s">
        <v>365</v>
      </c>
      <c r="R8" t="s">
        <v>383</v>
      </c>
      <c r="S8" t="s">
        <v>380</v>
      </c>
      <c r="T8" t="s">
        <v>384</v>
      </c>
    </row>
    <row r="9" spans="1:20">
      <c r="A9" t="s">
        <v>385</v>
      </c>
      <c r="B9" t="s">
        <v>121</v>
      </c>
      <c r="C9">
        <v>100</v>
      </c>
      <c r="D9"/>
      <c r="E9"/>
      <c r="F9" t="s">
        <v>102</v>
      </c>
      <c r="G9" t="s">
        <v>167</v>
      </c>
      <c r="H9" t="s">
        <v>102</v>
      </c>
      <c r="I9" t="s">
        <v>102</v>
      </c>
      <c r="J9"/>
      <c r="K9"/>
      <c r="L9" t="s">
        <v>102</v>
      </c>
      <c r="M9"/>
      <c r="N9" t="s">
        <v>101</v>
      </c>
      <c r="O9" t="s">
        <v>386</v>
      </c>
      <c r="P9" t="s">
        <v>102</v>
      </c>
      <c r="Q9"/>
      <c r="R9"/>
      <c r="S9" t="s">
        <v>385</v>
      </c>
      <c r="T9" t="s">
        <v>387</v>
      </c>
    </row>
    <row r="10" spans="1:20">
      <c r="A10" t="s">
        <v>388</v>
      </c>
      <c r="B10" t="s">
        <v>109</v>
      </c>
      <c r="C10"/>
      <c r="D10"/>
      <c r="E10"/>
      <c r="F10" t="s">
        <v>102</v>
      </c>
      <c r="G10" t="s">
        <v>167</v>
      </c>
      <c r="H10" t="s">
        <v>102</v>
      </c>
      <c r="I10" t="s">
        <v>167</v>
      </c>
      <c r="J10" t="s">
        <v>389</v>
      </c>
      <c r="K10" t="s">
        <v>388</v>
      </c>
      <c r="L10" t="s">
        <v>102</v>
      </c>
      <c r="M10"/>
      <c r="N10" t="s">
        <v>102</v>
      </c>
      <c r="O10"/>
      <c r="P10" t="s">
        <v>102</v>
      </c>
      <c r="Q10"/>
      <c r="R10"/>
      <c r="S10" t="s">
        <v>179</v>
      </c>
      <c r="T10" t="s">
        <v>390</v>
      </c>
    </row>
    <row r="11" spans="1:20">
      <c r="A11" t="s">
        <v>391</v>
      </c>
      <c r="B11" t="s">
        <v>109</v>
      </c>
      <c r="C11"/>
      <c r="D11"/>
      <c r="E11"/>
      <c r="F11" t="s">
        <v>102</v>
      </c>
      <c r="G11" t="s">
        <v>167</v>
      </c>
      <c r="H11" t="s">
        <v>102</v>
      </c>
      <c r="I11" t="s">
        <v>167</v>
      </c>
      <c r="J11" t="s">
        <v>392</v>
      </c>
      <c r="K11" t="s">
        <v>391</v>
      </c>
      <c r="L11" t="s">
        <v>102</v>
      </c>
      <c r="M11"/>
      <c r="N11" t="s">
        <v>102</v>
      </c>
      <c r="O11"/>
      <c r="P11" t="s">
        <v>167</v>
      </c>
      <c r="Q11"/>
      <c r="R11"/>
      <c r="S11" t="s">
        <v>391</v>
      </c>
      <c r="T11" t="s">
        <v>393</v>
      </c>
    </row>
    <row r="12" spans="1:20">
      <c r="A12" t="s">
        <v>394</v>
      </c>
      <c r="B12" t="s">
        <v>109</v>
      </c>
      <c r="C12"/>
      <c r="D12"/>
      <c r="E12"/>
      <c r="F12" t="s">
        <v>102</v>
      </c>
      <c r="G12" t="s">
        <v>167</v>
      </c>
      <c r="H12" t="s">
        <v>102</v>
      </c>
      <c r="I12" t="s">
        <v>167</v>
      </c>
      <c r="J12" t="s">
        <v>114</v>
      </c>
      <c r="K12" t="s">
        <v>394</v>
      </c>
      <c r="L12" t="s">
        <v>102</v>
      </c>
      <c r="M12"/>
      <c r="N12" t="s">
        <v>102</v>
      </c>
      <c r="O12"/>
      <c r="P12" t="s">
        <v>167</v>
      </c>
      <c r="Q12"/>
      <c r="R12"/>
      <c r="S12" t="s">
        <v>394</v>
      </c>
      <c r="T12" t="s">
        <v>395</v>
      </c>
    </row>
    <row r="13" spans="1:20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s="20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E6736158-E811-42C2-A8A8-6F883886BF34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223A-F34F-4887-B2DD-EAF5CADED242}">
  <dimension ref="A1:T18"/>
  <sheetViews>
    <sheetView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18.57031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54.8554687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Entidades!A20</f>
        <v>Estado_Usuario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Entidades!B20</f>
        <v>Entidad que contiene la información de cada uno de los estados que puede tener un Administrador o Trabajador.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 ht="14.25" customHeight="1">
      <c r="A7" t="s">
        <v>388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396</v>
      </c>
      <c r="N7" t="s">
        <v>102</v>
      </c>
      <c r="O7"/>
      <c r="P7" t="s">
        <v>167</v>
      </c>
      <c r="Q7" t="s">
        <v>137</v>
      </c>
      <c r="R7" t="s">
        <v>396</v>
      </c>
      <c r="S7" t="s">
        <v>388</v>
      </c>
      <c r="T7" t="s">
        <v>397</v>
      </c>
    </row>
    <row r="8" spans="1:20">
      <c r="A8" t="s">
        <v>125</v>
      </c>
      <c r="B8" t="s">
        <v>121</v>
      </c>
      <c r="C8">
        <v>50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167</v>
      </c>
      <c r="M8" t="s">
        <v>398</v>
      </c>
      <c r="N8" t="s">
        <v>102</v>
      </c>
      <c r="O8"/>
      <c r="P8" t="s">
        <v>167</v>
      </c>
      <c r="Q8" t="s">
        <v>248</v>
      </c>
      <c r="R8" t="s">
        <v>399</v>
      </c>
      <c r="S8" t="s">
        <v>125</v>
      </c>
      <c r="T8" t="s">
        <v>400</v>
      </c>
    </row>
    <row r="9" spans="1:20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3FBE5A2B-40BF-4894-AF47-1D14229113A9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A528-A330-4635-AC31-F9B1B1029386}">
  <dimension ref="A1:T9"/>
  <sheetViews>
    <sheetView topLeftCell="O1"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46.42578125" style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29.28515625" style="1" bestFit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Entidades!A21</f>
        <v>Rol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Entidades!B21</f>
        <v>Entidad que contiene la información de los diferentes roles (Administrador o Trabajador) que tendra un usuario dentro del sistema.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391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401</v>
      </c>
      <c r="N7" t="s">
        <v>102</v>
      </c>
      <c r="O7"/>
      <c r="P7" t="s">
        <v>167</v>
      </c>
      <c r="Q7" t="s">
        <v>137</v>
      </c>
      <c r="R7" t="s">
        <v>401</v>
      </c>
      <c r="S7" t="s">
        <v>391</v>
      </c>
      <c r="T7" t="s">
        <v>402</v>
      </c>
    </row>
    <row r="8" spans="1:20" ht="14.25" customHeight="1">
      <c r="A8" t="s">
        <v>125</v>
      </c>
      <c r="B8" t="s">
        <v>121</v>
      </c>
      <c r="C8">
        <v>60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167</v>
      </c>
      <c r="M8" t="s">
        <v>403</v>
      </c>
      <c r="N8" t="s">
        <v>102</v>
      </c>
      <c r="O8"/>
      <c r="P8" t="s">
        <v>167</v>
      </c>
      <c r="Q8" t="s">
        <v>248</v>
      </c>
      <c r="R8" t="s">
        <v>404</v>
      </c>
      <c r="S8" t="s">
        <v>125</v>
      </c>
      <c r="T8" t="s">
        <v>405</v>
      </c>
    </row>
    <row r="9" spans="1:20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57A2939B-C8D8-4546-BE45-469DFA58F3F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59B7-164E-41E4-AD0D-C11E97FAB3F3}">
  <dimension ref="A1:T37"/>
  <sheetViews>
    <sheetView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6.285156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26.85546875" style="1" customWidth="1"/>
    <col min="20" max="20" width="52.1406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Entidades!A26</f>
        <v>Cliente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Entidades!B26</f>
        <v>Entidad que contiene la información de cada Comprador de  bloques y materiales. Registra datos de contacto, histórico de pedidos, métodos de pago y preferencias de entrega. Puede interactuar con el portal para ver catálogo y solicitar atención.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406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407</v>
      </c>
      <c r="N7" t="s">
        <v>102</v>
      </c>
      <c r="O7"/>
      <c r="P7" t="s">
        <v>167</v>
      </c>
      <c r="Q7" t="s">
        <v>137</v>
      </c>
      <c r="R7" t="s">
        <v>407</v>
      </c>
      <c r="S7" t="s">
        <v>200</v>
      </c>
      <c r="T7" t="s">
        <v>408</v>
      </c>
    </row>
    <row r="8" spans="1:20">
      <c r="A8" t="s">
        <v>409</v>
      </c>
      <c r="B8" t="s">
        <v>109</v>
      </c>
      <c r="C8"/>
      <c r="D8"/>
      <c r="E8"/>
      <c r="F8" t="s">
        <v>102</v>
      </c>
      <c r="G8" t="s">
        <v>101</v>
      </c>
      <c r="H8" t="s">
        <v>102</v>
      </c>
      <c r="I8" t="s">
        <v>167</v>
      </c>
      <c r="J8" t="s">
        <v>409</v>
      </c>
      <c r="K8" t="s">
        <v>410</v>
      </c>
      <c r="L8" t="s">
        <v>102</v>
      </c>
      <c r="M8"/>
      <c r="N8" t="s">
        <v>102</v>
      </c>
      <c r="O8"/>
      <c r="P8" t="s">
        <v>102</v>
      </c>
      <c r="Q8"/>
      <c r="R8"/>
      <c r="S8" t="s">
        <v>409</v>
      </c>
      <c r="T8" t="s">
        <v>411</v>
      </c>
    </row>
    <row r="11" spans="1:20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28" spans="1:20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3D34CE32-1411-4634-9F1B-BE2BEA211EAC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9F6A-93B6-472D-A23A-E235DE12392D}">
  <dimension ref="A1:T40"/>
  <sheetViews>
    <sheetView topLeftCell="O1" zoomScaleNormal="100" workbookViewId="0">
      <pane ySplit="1" topLeftCell="A2" activePane="bottomLeft" state="frozen"/>
      <selection pane="bottomLeft" activeCell="A10" sqref="A10"/>
    </sheetView>
  </sheetViews>
  <sheetFormatPr defaultColWidth="19.7109375" defaultRowHeight="15"/>
  <cols>
    <col min="1" max="1" width="24.2851562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7.285156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Entidades!A28</f>
        <v>Proveedor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Entidades!B28</f>
        <v>Entidad que contiene la información de las empresas o personas que suministran el abastecimiento del negocio.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341</v>
      </c>
      <c r="B7" t="s">
        <v>412</v>
      </c>
      <c r="C7"/>
      <c r="D7"/>
      <c r="E7"/>
      <c r="F7" t="s">
        <v>167</v>
      </c>
      <c r="G7" t="s">
        <v>413</v>
      </c>
      <c r="H7" t="s">
        <v>413</v>
      </c>
      <c r="I7" t="s">
        <v>110</v>
      </c>
      <c r="J7"/>
      <c r="K7"/>
      <c r="L7" t="s">
        <v>413</v>
      </c>
      <c r="M7" t="s">
        <v>414</v>
      </c>
      <c r="N7" t="s">
        <v>110</v>
      </c>
      <c r="O7"/>
      <c r="P7" t="s">
        <v>413</v>
      </c>
      <c r="Q7" t="s">
        <v>104</v>
      </c>
      <c r="R7" t="s">
        <v>415</v>
      </c>
      <c r="S7" t="s">
        <v>416</v>
      </c>
      <c r="T7" t="s">
        <v>417</v>
      </c>
    </row>
    <row r="8" spans="1:20" ht="14.25" customHeight="1">
      <c r="A8" t="s">
        <v>418</v>
      </c>
      <c r="B8" t="s">
        <v>121</v>
      </c>
      <c r="C8">
        <v>30</v>
      </c>
      <c r="D8"/>
      <c r="E8"/>
      <c r="F8" t="s">
        <v>102</v>
      </c>
      <c r="G8" t="s">
        <v>413</v>
      </c>
      <c r="H8" t="s">
        <v>110</v>
      </c>
      <c r="I8" t="s">
        <v>110</v>
      </c>
      <c r="J8"/>
      <c r="K8"/>
      <c r="L8" t="s">
        <v>110</v>
      </c>
      <c r="M8"/>
      <c r="N8" t="s">
        <v>413</v>
      </c>
      <c r="O8" t="s">
        <v>419</v>
      </c>
      <c r="P8" t="s">
        <v>110</v>
      </c>
      <c r="Q8"/>
      <c r="R8"/>
      <c r="S8" t="s">
        <v>420</v>
      </c>
      <c r="T8" s="21" t="s">
        <v>421</v>
      </c>
    </row>
    <row r="9" spans="1:20">
      <c r="A9" t="s">
        <v>422</v>
      </c>
      <c r="B9" t="s">
        <v>121</v>
      </c>
      <c r="C9">
        <v>100</v>
      </c>
      <c r="D9"/>
      <c r="E9"/>
      <c r="F9" t="s">
        <v>102</v>
      </c>
      <c r="G9" t="s">
        <v>423</v>
      </c>
      <c r="H9" t="s">
        <v>110</v>
      </c>
      <c r="I9" t="s">
        <v>110</v>
      </c>
      <c r="J9"/>
      <c r="K9"/>
      <c r="L9" t="s">
        <v>110</v>
      </c>
      <c r="M9"/>
      <c r="N9" t="s">
        <v>110</v>
      </c>
      <c r="O9"/>
      <c r="P9" t="s">
        <v>110</v>
      </c>
      <c r="Q9"/>
      <c r="R9"/>
      <c r="S9" t="s">
        <v>424</v>
      </c>
      <c r="T9" t="s">
        <v>425</v>
      </c>
    </row>
    <row r="10" spans="1:20">
      <c r="A10" t="s">
        <v>426</v>
      </c>
      <c r="B10" t="s">
        <v>121</v>
      </c>
      <c r="C10">
        <v>100</v>
      </c>
      <c r="D10"/>
      <c r="E10"/>
      <c r="F10" t="s">
        <v>102</v>
      </c>
      <c r="G10" t="s">
        <v>427</v>
      </c>
      <c r="H10" t="s">
        <v>110</v>
      </c>
      <c r="I10" t="s">
        <v>110</v>
      </c>
      <c r="J10"/>
      <c r="K10"/>
      <c r="L10" t="s">
        <v>110</v>
      </c>
      <c r="M10"/>
      <c r="N10" t="s">
        <v>110</v>
      </c>
      <c r="O10"/>
      <c r="P10" t="s">
        <v>110</v>
      </c>
      <c r="Q10"/>
      <c r="R10"/>
      <c r="S10" t="s">
        <v>428</v>
      </c>
      <c r="T10" t="s">
        <v>429</v>
      </c>
    </row>
    <row r="11" spans="1:20">
      <c r="A11" t="s">
        <v>430</v>
      </c>
      <c r="B11" t="s">
        <v>320</v>
      </c>
      <c r="C11"/>
      <c r="D11"/>
      <c r="E11"/>
      <c r="F11" t="s">
        <v>102</v>
      </c>
      <c r="G11" t="s">
        <v>413</v>
      </c>
      <c r="H11" t="s">
        <v>110</v>
      </c>
      <c r="I11" t="s">
        <v>110</v>
      </c>
      <c r="J11"/>
      <c r="K11"/>
      <c r="L11" t="s">
        <v>110</v>
      </c>
      <c r="M11"/>
      <c r="N11" t="s">
        <v>110</v>
      </c>
      <c r="O11"/>
      <c r="P11" t="s">
        <v>110</v>
      </c>
      <c r="Q11"/>
      <c r="R11"/>
      <c r="S11" t="s">
        <v>431</v>
      </c>
      <c r="T11" t="s">
        <v>432</v>
      </c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0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9" spans="1:1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 s="21"/>
    </row>
    <row r="32" spans="1:19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</sheetData>
  <mergeCells count="18"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  <mergeCell ref="I5:K5"/>
    <mergeCell ref="L5:M5"/>
    <mergeCell ref="N5:O5"/>
  </mergeCells>
  <hyperlinks>
    <hyperlink ref="A1:E1" location="'Entidades'!A1" display="&lt;-Volver al inicio" xr:uid="{292180DC-40B3-4D0A-B0B1-EE9E28E54073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6F1D-206E-4903-8028-67225063369B}">
  <dimension ref="A1:T9"/>
  <sheetViews>
    <sheetView topLeftCell="O1" zoomScaleNormal="100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3.42578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Entidades!A23</f>
        <v>Tipo identificación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Entidades!B23</f>
        <v>Entidad que contiene la información de cada uno de los tipos de identificación que puede tener un usuario.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 ht="14.25" customHeight="1">
      <c r="A7" t="s">
        <v>360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433</v>
      </c>
      <c r="N7" t="s">
        <v>102</v>
      </c>
      <c r="O7"/>
      <c r="P7" t="s">
        <v>167</v>
      </c>
      <c r="Q7" t="s">
        <v>104</v>
      </c>
      <c r="R7" t="s">
        <v>434</v>
      </c>
      <c r="S7" t="s">
        <v>435</v>
      </c>
      <c r="T7" t="s">
        <v>436</v>
      </c>
    </row>
    <row r="8" spans="1:20">
      <c r="A8" t="s">
        <v>437</v>
      </c>
      <c r="B8" t="s">
        <v>438</v>
      </c>
      <c r="C8">
        <v>5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167</v>
      </c>
      <c r="M8" t="s">
        <v>439</v>
      </c>
      <c r="N8" t="s">
        <v>167</v>
      </c>
      <c r="O8" t="s">
        <v>440</v>
      </c>
      <c r="P8" t="s">
        <v>167</v>
      </c>
      <c r="Q8" t="s">
        <v>441</v>
      </c>
      <c r="R8" t="s">
        <v>442</v>
      </c>
      <c r="S8" t="s">
        <v>437</v>
      </c>
      <c r="T8" t="s">
        <v>443</v>
      </c>
    </row>
    <row r="9" spans="1:20">
      <c r="A9" t="s">
        <v>125</v>
      </c>
      <c r="B9" t="s">
        <v>121</v>
      </c>
      <c r="C9">
        <v>50</v>
      </c>
      <c r="D9"/>
      <c r="E9"/>
      <c r="F9" t="s">
        <v>102</v>
      </c>
      <c r="G9" t="s">
        <v>167</v>
      </c>
      <c r="H9" t="s">
        <v>102</v>
      </c>
      <c r="I9" t="s">
        <v>102</v>
      </c>
      <c r="J9"/>
      <c r="K9"/>
      <c r="L9" t="s">
        <v>102</v>
      </c>
      <c r="M9"/>
      <c r="N9" t="s">
        <v>102</v>
      </c>
      <c r="O9"/>
      <c r="P9" t="s">
        <v>102</v>
      </c>
      <c r="Q9"/>
      <c r="R9"/>
      <c r="S9" t="s">
        <v>125</v>
      </c>
      <c r="T9" t="s">
        <v>444</v>
      </c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'Entidades'!A1" display="&lt;-Volver al inicio" xr:uid="{A419F4B4-B4FF-4571-A4BE-671FB2992FB6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B4A9-73D2-489A-B1D2-47C9D64B531F}">
  <dimension ref="A1:T15"/>
  <sheetViews>
    <sheetView topLeftCell="O1" zoomScaleNormal="100" workbookViewId="0">
      <pane ySplit="1" topLeftCell="A2" activePane="bottomLeft" state="frozen"/>
      <selection pane="bottomLeft" activeCellId="1" sqref="A2:T15 A1:E1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3.42578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Entidades!A24</f>
        <v>Envio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Entidades!B24</f>
        <v>Entidad que contiene la información del servicio de transportar los productos adquiridos por un cliente hacia un destino.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445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446</v>
      </c>
      <c r="N7" t="s">
        <v>102</v>
      </c>
      <c r="O7"/>
      <c r="P7" t="s">
        <v>167</v>
      </c>
      <c r="Q7" t="s">
        <v>104</v>
      </c>
      <c r="R7" t="s">
        <v>446</v>
      </c>
      <c r="S7" t="s">
        <v>445</v>
      </c>
      <c r="T7" t="s">
        <v>447</v>
      </c>
    </row>
    <row r="8" spans="1:20">
      <c r="A8" t="s">
        <v>193</v>
      </c>
      <c r="B8" t="s">
        <v>109</v>
      </c>
      <c r="C8"/>
      <c r="D8"/>
      <c r="E8"/>
      <c r="F8" t="s">
        <v>102</v>
      </c>
      <c r="G8" t="s">
        <v>167</v>
      </c>
      <c r="H8" t="s">
        <v>102</v>
      </c>
      <c r="I8" t="s">
        <v>167</v>
      </c>
      <c r="J8" t="s">
        <v>227</v>
      </c>
      <c r="K8" t="s">
        <v>193</v>
      </c>
      <c r="L8" t="s">
        <v>102</v>
      </c>
      <c r="M8"/>
      <c r="N8" t="s">
        <v>102</v>
      </c>
      <c r="O8"/>
      <c r="P8" t="s">
        <v>167</v>
      </c>
      <c r="Q8" t="s">
        <v>203</v>
      </c>
      <c r="R8" t="s">
        <v>254</v>
      </c>
      <c r="S8" t="s">
        <v>193</v>
      </c>
      <c r="T8" t="s">
        <v>448</v>
      </c>
    </row>
    <row r="9" spans="1:20">
      <c r="A9" t="s">
        <v>449</v>
      </c>
      <c r="B9" t="s">
        <v>109</v>
      </c>
      <c r="C9"/>
      <c r="D9"/>
      <c r="E9"/>
      <c r="F9" t="s">
        <v>102</v>
      </c>
      <c r="G9" t="s">
        <v>167</v>
      </c>
      <c r="H9" t="s">
        <v>102</v>
      </c>
      <c r="I9" t="s">
        <v>167</v>
      </c>
      <c r="J9" t="s">
        <v>450</v>
      </c>
      <c r="K9" t="s">
        <v>449</v>
      </c>
      <c r="L9" t="s">
        <v>102</v>
      </c>
      <c r="M9"/>
      <c r="N9" t="s">
        <v>102</v>
      </c>
      <c r="O9"/>
      <c r="P9" t="s">
        <v>167</v>
      </c>
      <c r="Q9" t="s">
        <v>203</v>
      </c>
      <c r="R9" t="s">
        <v>451</v>
      </c>
      <c r="S9" t="s">
        <v>449</v>
      </c>
      <c r="T9" t="s">
        <v>452</v>
      </c>
    </row>
    <row r="10" spans="1:20">
      <c r="A10" t="s">
        <v>453</v>
      </c>
      <c r="B10" t="s">
        <v>109</v>
      </c>
      <c r="C10"/>
      <c r="D10"/>
      <c r="E10"/>
      <c r="F10" t="s">
        <v>102</v>
      </c>
      <c r="G10" t="s">
        <v>167</v>
      </c>
      <c r="H10" t="s">
        <v>102</v>
      </c>
      <c r="I10" t="s">
        <v>167</v>
      </c>
      <c r="J10" t="s">
        <v>454</v>
      </c>
      <c r="K10" t="s">
        <v>453</v>
      </c>
      <c r="L10" t="s">
        <v>102</v>
      </c>
      <c r="M10"/>
      <c r="N10" t="s">
        <v>102</v>
      </c>
      <c r="O10"/>
      <c r="P10" t="s">
        <v>167</v>
      </c>
      <c r="Q10" t="s">
        <v>203</v>
      </c>
      <c r="R10" t="s">
        <v>455</v>
      </c>
      <c r="S10" t="s">
        <v>453</v>
      </c>
      <c r="T10" t="s">
        <v>456</v>
      </c>
    </row>
    <row r="11" spans="1:20">
      <c r="A11" t="s">
        <v>457</v>
      </c>
      <c r="B11" t="s">
        <v>166</v>
      </c>
      <c r="C11"/>
      <c r="D11"/>
      <c r="E11"/>
      <c r="F11" t="s">
        <v>102</v>
      </c>
      <c r="G11" t="s">
        <v>167</v>
      </c>
      <c r="H11" t="s">
        <v>102</v>
      </c>
      <c r="I11" t="s">
        <v>102</v>
      </c>
      <c r="J11"/>
      <c r="K11"/>
      <c r="L11" t="s">
        <v>102</v>
      </c>
      <c r="M11"/>
      <c r="N11" t="s">
        <v>167</v>
      </c>
      <c r="O11" t="s">
        <v>458</v>
      </c>
      <c r="P11" t="s">
        <v>167</v>
      </c>
      <c r="Q11"/>
      <c r="R11" t="s">
        <v>459</v>
      </c>
      <c r="S11" t="s">
        <v>457</v>
      </c>
      <c r="T11" t="s">
        <v>460</v>
      </c>
    </row>
    <row r="12" spans="1:20">
      <c r="A12" t="s">
        <v>461</v>
      </c>
      <c r="B12" t="s">
        <v>336</v>
      </c>
      <c r="C12"/>
      <c r="D12">
        <v>10</v>
      </c>
      <c r="E12">
        <v>2</v>
      </c>
      <c r="F12" t="s">
        <v>102</v>
      </c>
      <c r="G12" t="s">
        <v>102</v>
      </c>
      <c r="H12" t="s">
        <v>102</v>
      </c>
      <c r="I12" t="s">
        <v>102</v>
      </c>
      <c r="J12"/>
      <c r="K12"/>
      <c r="L12" t="s">
        <v>102</v>
      </c>
      <c r="M12"/>
      <c r="N12" t="s">
        <v>167</v>
      </c>
      <c r="O12" t="s">
        <v>462</v>
      </c>
      <c r="P12" t="s">
        <v>102</v>
      </c>
      <c r="Q12"/>
      <c r="R12"/>
      <c r="S12" t="s">
        <v>461</v>
      </c>
      <c r="T12" t="s">
        <v>463</v>
      </c>
    </row>
    <row r="13" spans="1:20">
      <c r="A13" t="s">
        <v>464</v>
      </c>
      <c r="B13" t="s">
        <v>121</v>
      </c>
      <c r="C13">
        <v>10</v>
      </c>
      <c r="D13"/>
      <c r="E13"/>
      <c r="F13" t="s">
        <v>102</v>
      </c>
      <c r="G13" t="s">
        <v>101</v>
      </c>
      <c r="H13" t="s">
        <v>102</v>
      </c>
      <c r="I13" t="s">
        <v>102</v>
      </c>
      <c r="J13"/>
      <c r="K13"/>
      <c r="L13" t="s">
        <v>102</v>
      </c>
      <c r="M13"/>
      <c r="N13" t="s">
        <v>102</v>
      </c>
      <c r="O13"/>
      <c r="P13" t="s">
        <v>102</v>
      </c>
      <c r="Q13"/>
      <c r="R13"/>
      <c r="S13" t="s">
        <v>464</v>
      </c>
      <c r="T13" t="s">
        <v>465</v>
      </c>
    </row>
    <row r="14" spans="1:20">
      <c r="A14" t="s">
        <v>264</v>
      </c>
      <c r="B14" t="s">
        <v>121</v>
      </c>
      <c r="C14">
        <v>255</v>
      </c>
      <c r="D14"/>
      <c r="E14"/>
      <c r="F14" t="s">
        <v>102</v>
      </c>
      <c r="G14" t="s">
        <v>102</v>
      </c>
      <c r="H14" t="s">
        <v>102</v>
      </c>
      <c r="I14" t="s">
        <v>102</v>
      </c>
      <c r="J14"/>
      <c r="K14"/>
      <c r="L14" t="s">
        <v>102</v>
      </c>
      <c r="M14"/>
      <c r="N14" t="s">
        <v>102</v>
      </c>
      <c r="O14"/>
      <c r="P14" t="s">
        <v>102</v>
      </c>
      <c r="Q14"/>
      <c r="R14"/>
      <c r="S14" t="s">
        <v>264</v>
      </c>
      <c r="T14" t="s">
        <v>466</v>
      </c>
    </row>
    <row r="15" spans="1:20">
      <c r="A15" s="1" t="s">
        <v>127</v>
      </c>
    </row>
  </sheetData>
  <mergeCells count="18"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</mergeCells>
  <hyperlinks>
    <hyperlink ref="A1:E1" location="'Entidades'!A1" display="&lt;-Volver al inicio" xr:uid="{103CE08A-4CF4-4BC5-B3A1-966D45B4F587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2E49-E662-45DD-AB95-B8F694EA83F0}">
  <dimension ref="A1:T9"/>
  <sheetViews>
    <sheetView topLeftCell="O1" zoomScaleNormal="100" workbookViewId="0">
      <pane ySplit="1" topLeftCell="A2" activePane="bottomLeft" state="frozen"/>
      <selection pane="bottomLeft" activeCellId="1" sqref="A2:T15 A1:E1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3.42578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Entidades!A25</f>
        <v>Estado_Envio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Entidades!B25</f>
        <v>Entidad que contiene la información de cada estado de envio de una venta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449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467</v>
      </c>
      <c r="N7" t="s">
        <v>102</v>
      </c>
      <c r="O7"/>
      <c r="P7" t="s">
        <v>167</v>
      </c>
      <c r="Q7" t="s">
        <v>104</v>
      </c>
      <c r="R7" t="s">
        <v>467</v>
      </c>
      <c r="S7" t="s">
        <v>449</v>
      </c>
      <c r="T7" t="s">
        <v>468</v>
      </c>
    </row>
    <row r="8" spans="1:20">
      <c r="A8" t="s">
        <v>125</v>
      </c>
      <c r="B8" t="s">
        <v>121</v>
      </c>
      <c r="C8">
        <v>50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167</v>
      </c>
      <c r="M8" t="s">
        <v>469</v>
      </c>
      <c r="N8" t="s">
        <v>102</v>
      </c>
      <c r="O8"/>
      <c r="P8" t="s">
        <v>167</v>
      </c>
      <c r="Q8" t="s">
        <v>441</v>
      </c>
      <c r="R8" t="s">
        <v>470</v>
      </c>
      <c r="S8" t="s">
        <v>125</v>
      </c>
      <c r="T8" t="s">
        <v>471</v>
      </c>
    </row>
    <row r="9" spans="1:20">
      <c r="A9" t="s">
        <v>128</v>
      </c>
      <c r="B9" t="s">
        <v>121</v>
      </c>
      <c r="C9">
        <v>200</v>
      </c>
      <c r="D9"/>
      <c r="E9"/>
      <c r="F9" t="s">
        <v>102</v>
      </c>
      <c r="G9" t="s">
        <v>102</v>
      </c>
      <c r="H9" t="s">
        <v>102</v>
      </c>
      <c r="I9" t="s">
        <v>102</v>
      </c>
      <c r="J9"/>
      <c r="K9"/>
      <c r="L9" t="s">
        <v>102</v>
      </c>
      <c r="M9"/>
      <c r="N9" t="s">
        <v>102</v>
      </c>
      <c r="O9"/>
      <c r="P9" t="s">
        <v>102</v>
      </c>
      <c r="Q9"/>
      <c r="R9"/>
      <c r="S9" t="s">
        <v>128</v>
      </c>
      <c r="T9" t="s">
        <v>129</v>
      </c>
    </row>
  </sheetData>
  <mergeCells count="18"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</mergeCells>
  <hyperlinks>
    <hyperlink ref="A1:E1" location="'Entidades'!A1" display="&lt;-Volver al inicio" xr:uid="{2F70BF06-241A-4CA8-87CA-7DCC7393C182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BD68-E9AF-4EAA-95FD-89F09E9D3388}">
  <dimension ref="A1:T15"/>
  <sheetViews>
    <sheetView topLeftCell="O1" zoomScaleNormal="100" workbookViewId="0">
      <pane ySplit="1" topLeftCell="A2" activePane="bottomLeft" state="frozen"/>
      <selection pane="bottomLeft" activeCell="B13" sqref="B13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7.285156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Entidades!A22</f>
        <v>informacion de interes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Entidades!B22</f>
        <v>Entidad que contiene la información de la información relevante sobre el perfil y finalidad del cliente en relación con los productos, incluyendo el uso previsto y su rol dentro del sector, como constructor, contratista, revendedor, entre otros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410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472</v>
      </c>
      <c r="N7" t="s">
        <v>102</v>
      </c>
      <c r="O7"/>
      <c r="P7" t="s">
        <v>167</v>
      </c>
      <c r="Q7" s="18" t="s">
        <v>104</v>
      </c>
      <c r="R7" s="19" t="s">
        <v>472</v>
      </c>
      <c r="S7" t="s">
        <v>410</v>
      </c>
      <c r="T7" t="s">
        <v>473</v>
      </c>
    </row>
    <row r="8" spans="1:20">
      <c r="A8" t="s">
        <v>474</v>
      </c>
      <c r="B8" t="s">
        <v>121</v>
      </c>
      <c r="C8">
        <v>50</v>
      </c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102</v>
      </c>
      <c r="M8"/>
      <c r="N8" t="s">
        <v>102</v>
      </c>
      <c r="O8"/>
      <c r="P8" t="s">
        <v>102</v>
      </c>
      <c r="Q8"/>
      <c r="R8"/>
      <c r="S8" t="s">
        <v>474</v>
      </c>
      <c r="T8" t="s">
        <v>475</v>
      </c>
    </row>
    <row r="9" spans="1:20">
      <c r="A9" t="s">
        <v>476</v>
      </c>
      <c r="B9" t="s">
        <v>121</v>
      </c>
      <c r="C9">
        <v>100</v>
      </c>
      <c r="D9"/>
      <c r="E9"/>
      <c r="F9" t="s">
        <v>102</v>
      </c>
      <c r="G9" t="s">
        <v>167</v>
      </c>
      <c r="H9" t="s">
        <v>102</v>
      </c>
      <c r="I9" t="s">
        <v>102</v>
      </c>
      <c r="J9"/>
      <c r="K9"/>
      <c r="L9" t="s">
        <v>102</v>
      </c>
      <c r="M9"/>
      <c r="N9" t="s">
        <v>102</v>
      </c>
      <c r="O9"/>
      <c r="P9" t="s">
        <v>102</v>
      </c>
      <c r="Q9"/>
      <c r="R9"/>
      <c r="S9" t="s">
        <v>476</v>
      </c>
      <c r="T9" t="s">
        <v>477</v>
      </c>
    </row>
    <row r="11" spans="1:20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</sheetData>
  <mergeCells count="18"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</mergeCells>
  <hyperlinks>
    <hyperlink ref="A1:E1" location="'Entidades'!A1" display="&lt;-Volver al inicio" xr:uid="{6EEC7B48-91EB-4870-8BB0-6CFB6695DDFA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56A4-A071-442E-95D7-6EA84C047553}">
  <dimension ref="A1:T11"/>
  <sheetViews>
    <sheetView zoomScaleNormal="100" workbookViewId="0">
      <pane ySplit="1" topLeftCell="A2" activePane="bottomLeft" state="frozen"/>
      <selection pane="bottomLeft" activeCell="A4" sqref="A4:T4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38.2851562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67.1406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Entidades!A32</f>
        <v>Detalle_Envio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Entidades!B32</f>
        <v>Entidad que contiene la informacion del detalle del envio, la fecha del estado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478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479</v>
      </c>
      <c r="N7" t="s">
        <v>102</v>
      </c>
      <c r="O7"/>
      <c r="P7" t="s">
        <v>167</v>
      </c>
      <c r="Q7" t="s">
        <v>104</v>
      </c>
      <c r="R7" t="s">
        <v>480</v>
      </c>
      <c r="S7" t="s">
        <v>445</v>
      </c>
      <c r="T7" t="s">
        <v>481</v>
      </c>
    </row>
    <row r="8" spans="1:20">
      <c r="A8" t="s">
        <v>482</v>
      </c>
      <c r="B8" t="s">
        <v>109</v>
      </c>
      <c r="C8"/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102</v>
      </c>
      <c r="M8"/>
      <c r="N8" t="s">
        <v>102</v>
      </c>
      <c r="O8"/>
      <c r="P8" s="1" t="s">
        <v>102</v>
      </c>
      <c r="Q8"/>
      <c r="R8"/>
      <c r="S8" t="s">
        <v>445</v>
      </c>
      <c r="T8" t="s">
        <v>483</v>
      </c>
    </row>
    <row r="9" spans="1:20">
      <c r="A9" t="s">
        <v>449</v>
      </c>
      <c r="B9" t="s">
        <v>109</v>
      </c>
      <c r="C9"/>
      <c r="D9"/>
      <c r="E9"/>
      <c r="F9" t="s">
        <v>102</v>
      </c>
      <c r="G9" t="s">
        <v>167</v>
      </c>
      <c r="H9" t="s">
        <v>102</v>
      </c>
      <c r="I9" t="s">
        <v>167</v>
      </c>
      <c r="J9"/>
      <c r="K9"/>
      <c r="L9" t="s">
        <v>102</v>
      </c>
      <c r="M9"/>
      <c r="N9" t="s">
        <v>102</v>
      </c>
      <c r="O9"/>
      <c r="P9" s="1" t="s">
        <v>102</v>
      </c>
      <c r="Q9"/>
      <c r="R9"/>
      <c r="S9" t="s">
        <v>449</v>
      </c>
      <c r="T9" t="s">
        <v>484</v>
      </c>
    </row>
    <row r="10" spans="1:20">
      <c r="A10" s="1" t="s">
        <v>485</v>
      </c>
      <c r="B10" t="s">
        <v>166</v>
      </c>
      <c r="F10" t="s">
        <v>102</v>
      </c>
      <c r="G10" s="1" t="s">
        <v>101</v>
      </c>
      <c r="H10" t="s">
        <v>102</v>
      </c>
      <c r="I10" t="s">
        <v>102</v>
      </c>
      <c r="L10" t="s">
        <v>102</v>
      </c>
      <c r="N10" t="s">
        <v>167</v>
      </c>
      <c r="O10" t="s">
        <v>486</v>
      </c>
      <c r="P10" s="1" t="s">
        <v>102</v>
      </c>
      <c r="S10" s="1" t="s">
        <v>457</v>
      </c>
      <c r="T10" t="s">
        <v>487</v>
      </c>
    </row>
    <row r="11" spans="1:20">
      <c r="N11"/>
      <c r="O11"/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'Entidades'!A1" display="&lt;-Volver al inicio" xr:uid="{FBF55043-F3A9-431A-AEC6-1829584B1A7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186D-D455-474A-B427-2D89E96F4A86}">
  <dimension ref="A1:T11"/>
  <sheetViews>
    <sheetView topLeftCell="O1" zoomScaleNormal="100" workbookViewId="0">
      <pane ySplit="1" topLeftCell="A2" activePane="bottomLeft" state="frozen"/>
      <selection pane="bottomLeft" activeCell="A2" sqref="A2:T11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38.2851562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3.42578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Entidades!A15</f>
        <v>Produccion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Entidades!B15</f>
        <v>Entidad que contiene la información del Registro diario de bloques fabricados: cantidad producida, lote, fecha, insumos  y trabajadores responsables.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284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488</v>
      </c>
      <c r="N7" t="s">
        <v>102</v>
      </c>
      <c r="O7"/>
      <c r="P7" t="s">
        <v>167</v>
      </c>
      <c r="Q7" t="s">
        <v>104</v>
      </c>
      <c r="R7" t="s">
        <v>488</v>
      </c>
      <c r="S7" t="s">
        <v>284</v>
      </c>
      <c r="T7" t="s">
        <v>489</v>
      </c>
    </row>
    <row r="8" spans="1:20">
      <c r="A8" t="s">
        <v>490</v>
      </c>
      <c r="B8" t="s">
        <v>166</v>
      </c>
      <c r="C8"/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102</v>
      </c>
      <c r="M8"/>
      <c r="N8" t="s">
        <v>167</v>
      </c>
      <c r="O8" t="s">
        <v>491</v>
      </c>
      <c r="P8" t="s">
        <v>167</v>
      </c>
      <c r="Q8"/>
      <c r="R8" t="s">
        <v>492</v>
      </c>
      <c r="S8" t="s">
        <v>490</v>
      </c>
      <c r="T8" t="s">
        <v>493</v>
      </c>
    </row>
    <row r="9" spans="1:20">
      <c r="A9" t="s">
        <v>215</v>
      </c>
      <c r="B9" t="s">
        <v>109</v>
      </c>
      <c r="C9"/>
      <c r="D9"/>
      <c r="E9"/>
      <c r="F9" t="s">
        <v>102</v>
      </c>
      <c r="G9" t="s">
        <v>167</v>
      </c>
      <c r="H9" t="s">
        <v>102</v>
      </c>
      <c r="I9" t="s">
        <v>167</v>
      </c>
      <c r="J9" t="s">
        <v>216</v>
      </c>
      <c r="K9" t="s">
        <v>217</v>
      </c>
      <c r="L9" t="s">
        <v>102</v>
      </c>
      <c r="M9"/>
      <c r="N9" t="s">
        <v>102</v>
      </c>
      <c r="O9"/>
      <c r="P9" t="s">
        <v>167</v>
      </c>
      <c r="Q9" t="s">
        <v>203</v>
      </c>
      <c r="R9" t="s">
        <v>494</v>
      </c>
      <c r="S9" t="s">
        <v>215</v>
      </c>
      <c r="T9" t="s">
        <v>495</v>
      </c>
    </row>
    <row r="10" spans="1:20">
      <c r="A10" s="1" t="s">
        <v>496</v>
      </c>
      <c r="B10" t="s">
        <v>166</v>
      </c>
      <c r="F10" t="s">
        <v>102</v>
      </c>
      <c r="G10" s="1" t="s">
        <v>102</v>
      </c>
      <c r="H10" t="s">
        <v>102</v>
      </c>
      <c r="I10" t="s">
        <v>102</v>
      </c>
      <c r="L10" t="s">
        <v>102</v>
      </c>
      <c r="N10" t="s">
        <v>102</v>
      </c>
      <c r="P10" s="1" t="s">
        <v>102</v>
      </c>
      <c r="T10" t="s">
        <v>497</v>
      </c>
    </row>
    <row r="11" spans="1:20">
      <c r="A11" s="1" t="s">
        <v>498</v>
      </c>
      <c r="B11" t="s">
        <v>166</v>
      </c>
      <c r="F11" t="s">
        <v>102</v>
      </c>
      <c r="G11" s="1" t="s">
        <v>102</v>
      </c>
      <c r="H11" t="s">
        <v>102</v>
      </c>
      <c r="I11" t="s">
        <v>102</v>
      </c>
      <c r="L11" t="s">
        <v>102</v>
      </c>
      <c r="N11" t="s">
        <v>102</v>
      </c>
      <c r="P11" s="1" t="s">
        <v>102</v>
      </c>
      <c r="T11" t="s">
        <v>499</v>
      </c>
    </row>
  </sheetData>
  <mergeCells count="18"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</mergeCells>
  <hyperlinks>
    <hyperlink ref="A1:E1" location="'Entidades'!A1" display="&lt;-Volver al inicio" xr:uid="{D3D6A4C9-9ED1-4853-97DB-01871CCC6B0E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CBDA-68BF-4C9F-B14C-48E9942D6216}">
  <dimension ref="A1:T12"/>
  <sheetViews>
    <sheetView topLeftCell="M1" zoomScaleNormal="100" workbookViewId="0">
      <pane ySplit="1" topLeftCell="A2" activePane="bottomLeft" state="frozen"/>
      <selection pane="bottomLeft" activeCell="T17" sqref="T17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12.7109375" style="1" customWidth="1"/>
    <col min="20" max="20" width="43.42578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Entidades!A17</f>
        <v>Detalle_Producción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Entidades!B17</f>
        <v>Entidad que contiene la información de cada producción con los productos fabricados.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500</v>
      </c>
      <c r="B7" t="s">
        <v>100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501</v>
      </c>
      <c r="N7" t="s">
        <v>102</v>
      </c>
      <c r="O7"/>
      <c r="P7" t="s">
        <v>167</v>
      </c>
      <c r="Q7" t="s">
        <v>104</v>
      </c>
      <c r="R7" t="s">
        <v>502</v>
      </c>
      <c r="S7" t="s">
        <v>500</v>
      </c>
      <c r="T7" t="s">
        <v>503</v>
      </c>
    </row>
    <row r="8" spans="1:20">
      <c r="A8" t="s">
        <v>284</v>
      </c>
      <c r="B8" t="s">
        <v>109</v>
      </c>
      <c r="C8"/>
      <c r="D8"/>
      <c r="E8"/>
      <c r="F8" t="s">
        <v>102</v>
      </c>
      <c r="G8" t="s">
        <v>167</v>
      </c>
      <c r="H8" t="s">
        <v>167</v>
      </c>
      <c r="I8" t="s">
        <v>167</v>
      </c>
      <c r="J8" t="s">
        <v>285</v>
      </c>
      <c r="K8" t="s">
        <v>284</v>
      </c>
      <c r="L8" t="s">
        <v>102</v>
      </c>
      <c r="M8"/>
      <c r="N8" t="s">
        <v>102</v>
      </c>
      <c r="O8"/>
      <c r="P8" t="s">
        <v>167</v>
      </c>
      <c r="Q8" t="s">
        <v>203</v>
      </c>
      <c r="R8" t="s">
        <v>504</v>
      </c>
      <c r="S8" t="s">
        <v>284</v>
      </c>
      <c r="T8" t="s">
        <v>505</v>
      </c>
    </row>
    <row r="9" spans="1:20">
      <c r="A9" t="s">
        <v>171</v>
      </c>
      <c r="B9" t="s">
        <v>109</v>
      </c>
      <c r="C9"/>
      <c r="D9"/>
      <c r="E9"/>
      <c r="F9" t="s">
        <v>102</v>
      </c>
      <c r="G9" t="s">
        <v>167</v>
      </c>
      <c r="H9" t="s">
        <v>167</v>
      </c>
      <c r="I9" t="s">
        <v>167</v>
      </c>
      <c r="J9" t="s">
        <v>111</v>
      </c>
      <c r="K9" t="s">
        <v>171</v>
      </c>
      <c r="L9" t="s">
        <v>102</v>
      </c>
      <c r="M9"/>
      <c r="N9" t="s">
        <v>102</v>
      </c>
      <c r="O9"/>
      <c r="P9" t="s">
        <v>167</v>
      </c>
      <c r="Q9" t="s">
        <v>203</v>
      </c>
      <c r="R9" t="s">
        <v>506</v>
      </c>
      <c r="S9" t="s">
        <v>171</v>
      </c>
      <c r="T9" t="s">
        <v>507</v>
      </c>
    </row>
    <row r="10" spans="1:20">
      <c r="A10" t="s">
        <v>508</v>
      </c>
      <c r="B10" t="s">
        <v>109</v>
      </c>
      <c r="C10"/>
      <c r="D10"/>
      <c r="E10"/>
      <c r="F10" t="s">
        <v>102</v>
      </c>
      <c r="G10" t="s">
        <v>167</v>
      </c>
      <c r="H10" t="s">
        <v>102</v>
      </c>
      <c r="I10" t="s">
        <v>102</v>
      </c>
      <c r="J10"/>
      <c r="K10"/>
      <c r="L10" t="s">
        <v>102</v>
      </c>
      <c r="M10"/>
      <c r="N10" t="s">
        <v>167</v>
      </c>
      <c r="O10" t="s">
        <v>509</v>
      </c>
      <c r="P10" t="s">
        <v>102</v>
      </c>
      <c r="Q10"/>
      <c r="R10"/>
      <c r="S10" t="s">
        <v>508</v>
      </c>
      <c r="T10" t="s">
        <v>510</v>
      </c>
    </row>
    <row r="11" spans="1:20">
      <c r="A11" t="s">
        <v>511</v>
      </c>
      <c r="B11" t="s">
        <v>109</v>
      </c>
      <c r="C11"/>
      <c r="D11"/>
      <c r="E11"/>
      <c r="F11" t="s">
        <v>102</v>
      </c>
      <c r="G11" t="s">
        <v>102</v>
      </c>
      <c r="H11" t="s">
        <v>102</v>
      </c>
      <c r="I11" t="s">
        <v>102</v>
      </c>
      <c r="J11"/>
      <c r="K11"/>
      <c r="L11" t="s">
        <v>102</v>
      </c>
      <c r="M11"/>
      <c r="N11" t="s">
        <v>167</v>
      </c>
      <c r="O11" t="s">
        <v>512</v>
      </c>
      <c r="P11" t="s">
        <v>102</v>
      </c>
      <c r="Q11"/>
      <c r="R11"/>
      <c r="S11" t="s">
        <v>511</v>
      </c>
      <c r="T11" t="s">
        <v>513</v>
      </c>
    </row>
    <row r="12" spans="1:20">
      <c r="A12" t="s">
        <v>514</v>
      </c>
      <c r="B12" t="s">
        <v>109</v>
      </c>
      <c r="C12"/>
      <c r="D12"/>
      <c r="E12"/>
      <c r="F12" t="s">
        <v>102</v>
      </c>
      <c r="G12" t="s">
        <v>102</v>
      </c>
      <c r="H12" t="s">
        <v>102</v>
      </c>
      <c r="I12" t="s">
        <v>102</v>
      </c>
      <c r="J12"/>
      <c r="K12"/>
      <c r="L12" t="s">
        <v>102</v>
      </c>
      <c r="M12"/>
      <c r="N12" t="s">
        <v>167</v>
      </c>
      <c r="O12" t="s">
        <v>515</v>
      </c>
      <c r="P12" t="s">
        <v>102</v>
      </c>
      <c r="Q12"/>
      <c r="R12"/>
      <c r="S12" t="s">
        <v>516</v>
      </c>
      <c r="T12" t="s">
        <v>517</v>
      </c>
    </row>
  </sheetData>
  <mergeCells count="18"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</mergeCells>
  <hyperlinks>
    <hyperlink ref="A1:E1" location="'Entidades'!A1" display="&lt;-Volver al inicio" xr:uid="{CA24CAA3-5095-4F5C-852C-D312C30F46FE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A8E3-5D1C-4CBB-941E-A61990B752BD}">
  <dimension ref="A1:T13"/>
  <sheetViews>
    <sheetView topLeftCell="O1" zoomScaleNormal="100" workbookViewId="0">
      <pane ySplit="1" topLeftCell="A2" activePane="bottomLeft" state="frozen"/>
      <selection pane="bottomLeft" activeCell="V13" sqref="V13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38.2851562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24.140625" style="1" customWidth="1"/>
    <col min="20" max="20" width="43.425781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Entidades!A29</f>
        <v>Devolucion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Entidades!B29</f>
        <v>Entidad que contiene la ingormación registrada de la devolución total o parcial de productos de una Venta, con su motivo y el ajuste de inventario correspondiente.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518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519</v>
      </c>
      <c r="N7" t="s">
        <v>102</v>
      </c>
      <c r="O7"/>
      <c r="P7" t="s">
        <v>167</v>
      </c>
      <c r="Q7" t="s">
        <v>104</v>
      </c>
      <c r="R7" t="s">
        <v>519</v>
      </c>
      <c r="S7" t="s">
        <v>520</v>
      </c>
      <c r="T7" t="s">
        <v>521</v>
      </c>
    </row>
    <row r="8" spans="1:20">
      <c r="A8" t="s">
        <v>522</v>
      </c>
      <c r="B8" t="s">
        <v>166</v>
      </c>
      <c r="C8"/>
      <c r="D8"/>
      <c r="E8"/>
      <c r="F8" t="s">
        <v>102</v>
      </c>
      <c r="G8" t="s">
        <v>167</v>
      </c>
      <c r="H8" t="s">
        <v>102</v>
      </c>
      <c r="I8" t="s">
        <v>102</v>
      </c>
      <c r="J8"/>
      <c r="K8"/>
      <c r="L8" t="s">
        <v>102</v>
      </c>
      <c r="M8"/>
      <c r="N8" t="s">
        <v>167</v>
      </c>
      <c r="O8" t="s">
        <v>523</v>
      </c>
      <c r="P8" t="s">
        <v>167</v>
      </c>
      <c r="Q8"/>
      <c r="R8" t="s">
        <v>524</v>
      </c>
      <c r="S8" t="s">
        <v>525</v>
      </c>
      <c r="T8" t="s">
        <v>526</v>
      </c>
    </row>
    <row r="9" spans="1:20">
      <c r="A9" t="s">
        <v>215</v>
      </c>
      <c r="B9" t="s">
        <v>109</v>
      </c>
      <c r="C9"/>
      <c r="D9"/>
      <c r="E9"/>
      <c r="F9" t="s">
        <v>102</v>
      </c>
      <c r="G9" t="s">
        <v>167</v>
      </c>
      <c r="H9" t="s">
        <v>102</v>
      </c>
      <c r="I9" t="s">
        <v>167</v>
      </c>
      <c r="J9" t="s">
        <v>216</v>
      </c>
      <c r="K9" t="s">
        <v>217</v>
      </c>
      <c r="L9" t="s">
        <v>102</v>
      </c>
      <c r="M9"/>
      <c r="N9" t="s">
        <v>102</v>
      </c>
      <c r="O9"/>
      <c r="P9" t="s">
        <v>167</v>
      </c>
      <c r="Q9" t="s">
        <v>203</v>
      </c>
      <c r="R9" t="s">
        <v>527</v>
      </c>
      <c r="S9" t="s">
        <v>215</v>
      </c>
      <c r="T9" t="s">
        <v>528</v>
      </c>
    </row>
    <row r="10" spans="1:20">
      <c r="A10" t="s">
        <v>193</v>
      </c>
      <c r="B10" t="s">
        <v>109</v>
      </c>
      <c r="C10"/>
      <c r="D10"/>
      <c r="E10"/>
      <c r="F10" t="s">
        <v>102</v>
      </c>
      <c r="G10" t="s">
        <v>167</v>
      </c>
      <c r="H10" t="s">
        <v>102</v>
      </c>
      <c r="I10" t="s">
        <v>167</v>
      </c>
      <c r="J10" t="s">
        <v>18</v>
      </c>
      <c r="K10" t="s">
        <v>171</v>
      </c>
      <c r="L10" t="s">
        <v>102</v>
      </c>
      <c r="M10"/>
      <c r="N10" t="s">
        <v>102</v>
      </c>
      <c r="O10"/>
      <c r="P10" t="s">
        <v>167</v>
      </c>
      <c r="Q10" t="s">
        <v>203</v>
      </c>
      <c r="R10" t="s">
        <v>529</v>
      </c>
      <c r="S10" t="s">
        <v>171</v>
      </c>
      <c r="T10" t="s">
        <v>530</v>
      </c>
    </row>
    <row r="11" spans="1:20">
      <c r="A11" t="s">
        <v>200</v>
      </c>
      <c r="B11" t="s">
        <v>109</v>
      </c>
      <c r="C11"/>
      <c r="D11"/>
      <c r="E11"/>
      <c r="F11" t="s">
        <v>102</v>
      </c>
      <c r="G11" t="s">
        <v>167</v>
      </c>
      <c r="H11" t="s">
        <v>102</v>
      </c>
      <c r="I11" t="s">
        <v>167</v>
      </c>
      <c r="J11" t="s">
        <v>58</v>
      </c>
      <c r="K11" t="s">
        <v>200</v>
      </c>
      <c r="L11" t="s">
        <v>102</v>
      </c>
      <c r="M11"/>
      <c r="N11" t="s">
        <v>102</v>
      </c>
      <c r="O11"/>
      <c r="P11" t="s">
        <v>167</v>
      </c>
      <c r="Q11" t="s">
        <v>203</v>
      </c>
      <c r="R11" t="s">
        <v>531</v>
      </c>
      <c r="S11" t="s">
        <v>200</v>
      </c>
      <c r="T11" t="s">
        <v>532</v>
      </c>
    </row>
    <row r="12" spans="1:20">
      <c r="A12" s="1" t="s">
        <v>496</v>
      </c>
      <c r="B12" t="s">
        <v>166</v>
      </c>
      <c r="F12" t="s">
        <v>102</v>
      </c>
      <c r="G12" s="1" t="s">
        <v>102</v>
      </c>
      <c r="H12" t="s">
        <v>102</v>
      </c>
      <c r="I12" t="s">
        <v>102</v>
      </c>
      <c r="L12" t="s">
        <v>102</v>
      </c>
      <c r="N12" t="s">
        <v>102</v>
      </c>
      <c r="P12" s="1" t="s">
        <v>102</v>
      </c>
      <c r="T12" t="s">
        <v>533</v>
      </c>
    </row>
    <row r="13" spans="1:20">
      <c r="A13" s="1" t="s">
        <v>534</v>
      </c>
      <c r="B13" s="1" t="s">
        <v>535</v>
      </c>
      <c r="C13" s="1">
        <v>250</v>
      </c>
      <c r="F13" s="1" t="s">
        <v>102</v>
      </c>
      <c r="G13" s="1" t="s">
        <v>101</v>
      </c>
      <c r="H13" s="1" t="s">
        <v>102</v>
      </c>
      <c r="I13" s="1" t="s">
        <v>102</v>
      </c>
      <c r="L13" s="1" t="s">
        <v>102</v>
      </c>
      <c r="N13" s="1" t="s">
        <v>102</v>
      </c>
      <c r="P13" s="1" t="s">
        <v>102</v>
      </c>
      <c r="T13" s="1" t="s">
        <v>536</v>
      </c>
    </row>
  </sheetData>
  <mergeCells count="18"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</mergeCells>
  <hyperlinks>
    <hyperlink ref="A1:E1" location="'Entidades'!A1" display="&lt;-Volver al inicio" xr:uid="{ECDB18DE-5FB4-44DC-A58F-A26F95A525AE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AB6E-A350-470C-95BB-A780A7F7F411}">
  <dimension ref="A1:T12"/>
  <sheetViews>
    <sheetView topLeftCell="M1" zoomScaleNormal="100" workbookViewId="0">
      <pane ySplit="1" topLeftCell="A2" activePane="bottomLeft" state="frozen"/>
      <selection pane="bottomLeft" activeCell="A2" sqref="A2:T16"/>
    </sheetView>
  </sheetViews>
  <sheetFormatPr defaultColWidth="19.7109375" defaultRowHeight="15"/>
  <cols>
    <col min="1" max="1" width="24.85546875" style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.85546875" style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15.28515625" style="1" customWidth="1"/>
    <col min="18" max="18" width="56.28515625" style="1" bestFit="1" customWidth="1"/>
    <col min="19" max="19" width="24.28515625" style="1" customWidth="1"/>
    <col min="20" max="20" width="53.28515625" style="1" customWidth="1"/>
    <col min="21" max="16384" width="19.7109375" style="1"/>
  </cols>
  <sheetData>
    <row r="1" spans="1:20">
      <c r="A1" s="50" t="s">
        <v>74</v>
      </c>
      <c r="B1" s="50"/>
      <c r="C1" s="50"/>
      <c r="D1" s="50"/>
      <c r="E1" s="50"/>
    </row>
    <row r="2" spans="1:20" ht="13.5" customHeight="1">
      <c r="A2" s="5" t="str">
        <f>Entidades!$A$1</f>
        <v>Entidad</v>
      </c>
      <c r="B2" s="51" t="str">
        <f>Entidades!A30</f>
        <v>Detalle_Devolucion</v>
      </c>
      <c r="C2" s="51"/>
      <c r="D2" s="51"/>
      <c r="E2" s="52"/>
    </row>
    <row r="3" spans="1:20">
      <c r="A3" s="6" t="str">
        <f>Entidades!$B$1</f>
        <v>Descripción</v>
      </c>
      <c r="B3" s="53" t="str">
        <f>Entidades!B30</f>
        <v xml:space="preserve">Entidad que contiene la información del detalle de los productos regresados en una devolución </v>
      </c>
      <c r="C3" s="53"/>
      <c r="D3" s="53"/>
      <c r="E3" s="54"/>
    </row>
    <row r="4" spans="1:20">
      <c r="A4" s="55" t="s">
        <v>75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</row>
    <row r="5" spans="1:20" s="8" customFormat="1">
      <c r="A5" s="58" t="s">
        <v>76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49" t="s">
        <v>82</v>
      </c>
      <c r="H5" s="63" t="s">
        <v>83</v>
      </c>
      <c r="I5" s="49" t="s">
        <v>84</v>
      </c>
      <c r="J5" s="49"/>
      <c r="K5" s="49"/>
      <c r="L5" s="49" t="s">
        <v>85</v>
      </c>
      <c r="M5" s="49"/>
      <c r="N5" s="49" t="s">
        <v>86</v>
      </c>
      <c r="O5" s="49"/>
      <c r="P5" s="49" t="s">
        <v>87</v>
      </c>
      <c r="Q5" s="49"/>
      <c r="R5" s="49"/>
      <c r="S5" s="49" t="s">
        <v>88</v>
      </c>
      <c r="T5" s="61" t="s">
        <v>89</v>
      </c>
    </row>
    <row r="6" spans="1:20" s="8" customFormat="1">
      <c r="A6" s="59"/>
      <c r="B6" s="60"/>
      <c r="C6" s="60"/>
      <c r="D6" s="60"/>
      <c r="E6" s="60"/>
      <c r="F6" s="60"/>
      <c r="G6" s="60"/>
      <c r="H6" s="64"/>
      <c r="I6" s="7" t="s">
        <v>90</v>
      </c>
      <c r="J6" s="7" t="s">
        <v>8</v>
      </c>
      <c r="K6" s="7" t="s">
        <v>91</v>
      </c>
      <c r="L6" s="7" t="s">
        <v>92</v>
      </c>
      <c r="M6" s="7" t="s">
        <v>93</v>
      </c>
      <c r="N6" s="7" t="s">
        <v>94</v>
      </c>
      <c r="O6" s="7" t="s">
        <v>95</v>
      </c>
      <c r="P6" s="7" t="s">
        <v>96</v>
      </c>
      <c r="Q6" s="7" t="s">
        <v>97</v>
      </c>
      <c r="R6" s="7" t="s">
        <v>98</v>
      </c>
      <c r="S6" s="60"/>
      <c r="T6" s="62"/>
    </row>
    <row r="7" spans="1:20">
      <c r="A7" t="s">
        <v>537</v>
      </c>
      <c r="B7" t="s">
        <v>109</v>
      </c>
      <c r="C7"/>
      <c r="D7"/>
      <c r="E7"/>
      <c r="F7" t="s">
        <v>167</v>
      </c>
      <c r="G7" t="s">
        <v>167</v>
      </c>
      <c r="H7" t="s">
        <v>167</v>
      </c>
      <c r="I7" t="s">
        <v>102</v>
      </c>
      <c r="J7"/>
      <c r="K7"/>
      <c r="L7" t="s">
        <v>167</v>
      </c>
      <c r="M7" t="s">
        <v>538</v>
      </c>
      <c r="N7" t="s">
        <v>102</v>
      </c>
      <c r="O7"/>
      <c r="P7" t="s">
        <v>167</v>
      </c>
      <c r="Q7" t="s">
        <v>104</v>
      </c>
      <c r="R7" t="s">
        <v>539</v>
      </c>
      <c r="S7" t="s">
        <v>540</v>
      </c>
      <c r="T7" t="s">
        <v>541</v>
      </c>
    </row>
    <row r="8" spans="1:20">
      <c r="A8" t="s">
        <v>520</v>
      </c>
      <c r="B8" t="s">
        <v>109</v>
      </c>
      <c r="C8"/>
      <c r="D8"/>
      <c r="E8"/>
      <c r="F8" t="s">
        <v>102</v>
      </c>
      <c r="G8" t="s">
        <v>167</v>
      </c>
      <c r="H8" t="s">
        <v>167</v>
      </c>
      <c r="I8" t="s">
        <v>167</v>
      </c>
      <c r="J8" t="s">
        <v>64</v>
      </c>
      <c r="K8" t="s">
        <v>520</v>
      </c>
      <c r="L8" t="s">
        <v>102</v>
      </c>
      <c r="M8"/>
      <c r="N8" t="s">
        <v>102</v>
      </c>
      <c r="O8"/>
      <c r="P8" t="s">
        <v>167</v>
      </c>
      <c r="Q8" t="s">
        <v>203</v>
      </c>
      <c r="R8" t="s">
        <v>542</v>
      </c>
      <c r="S8" t="s">
        <v>520</v>
      </c>
      <c r="T8" t="s">
        <v>543</v>
      </c>
    </row>
    <row r="9" spans="1:20">
      <c r="A9" t="s">
        <v>171</v>
      </c>
      <c r="B9" t="s">
        <v>109</v>
      </c>
      <c r="C9"/>
      <c r="D9"/>
      <c r="E9"/>
      <c r="F9" t="s">
        <v>102</v>
      </c>
      <c r="G9" t="s">
        <v>167</v>
      </c>
      <c r="H9" t="s">
        <v>102</v>
      </c>
      <c r="I9" t="s">
        <v>167</v>
      </c>
      <c r="J9" t="s">
        <v>24</v>
      </c>
      <c r="K9" t="s">
        <v>193</v>
      </c>
      <c r="L9" t="s">
        <v>102</v>
      </c>
      <c r="M9"/>
      <c r="N9" t="s">
        <v>102</v>
      </c>
      <c r="O9"/>
      <c r="P9" t="s">
        <v>167</v>
      </c>
      <c r="Q9" t="s">
        <v>203</v>
      </c>
      <c r="R9" t="s">
        <v>544</v>
      </c>
      <c r="S9" t="s">
        <v>193</v>
      </c>
      <c r="T9" t="s">
        <v>230</v>
      </c>
    </row>
    <row r="10" spans="1:20">
      <c r="A10" t="s">
        <v>545</v>
      </c>
      <c r="B10" t="s">
        <v>117</v>
      </c>
      <c r="C10"/>
      <c r="D10">
        <v>12</v>
      </c>
      <c r="E10">
        <v>2</v>
      </c>
      <c r="F10" t="s">
        <v>102</v>
      </c>
      <c r="G10" t="s">
        <v>167</v>
      </c>
      <c r="H10" t="s">
        <v>102</v>
      </c>
      <c r="I10" t="s">
        <v>102</v>
      </c>
      <c r="J10"/>
      <c r="K10"/>
      <c r="L10" t="s">
        <v>102</v>
      </c>
      <c r="M10"/>
      <c r="N10" t="s">
        <v>167</v>
      </c>
      <c r="O10" t="s">
        <v>546</v>
      </c>
      <c r="P10" t="s">
        <v>102</v>
      </c>
      <c r="Q10"/>
      <c r="R10"/>
      <c r="S10" t="s">
        <v>545</v>
      </c>
      <c r="T10" t="s">
        <v>547</v>
      </c>
    </row>
    <row r="11" spans="1:20">
      <c r="A11" t="s">
        <v>548</v>
      </c>
      <c r="B11" t="s">
        <v>109</v>
      </c>
      <c r="C11"/>
      <c r="D11"/>
      <c r="E11"/>
      <c r="F11" t="s">
        <v>102</v>
      </c>
      <c r="G11" t="s">
        <v>167</v>
      </c>
      <c r="H11" t="s">
        <v>102</v>
      </c>
      <c r="I11" t="s">
        <v>102</v>
      </c>
      <c r="J11"/>
      <c r="K11"/>
      <c r="L11" t="s">
        <v>102</v>
      </c>
      <c r="M11"/>
      <c r="N11" t="s">
        <v>167</v>
      </c>
      <c r="O11" t="s">
        <v>549</v>
      </c>
      <c r="P11" t="s">
        <v>102</v>
      </c>
      <c r="Q11"/>
      <c r="R11"/>
      <c r="S11" t="s">
        <v>550</v>
      </c>
      <c r="T11" t="s">
        <v>551</v>
      </c>
    </row>
    <row r="12" spans="1:20">
      <c r="A12" t="s">
        <v>552</v>
      </c>
      <c r="B12" t="s">
        <v>117</v>
      </c>
      <c r="C12"/>
      <c r="D12"/>
      <c r="E12"/>
      <c r="F12" t="s">
        <v>102</v>
      </c>
      <c r="G12" t="s">
        <v>167</v>
      </c>
      <c r="H12" t="s">
        <v>102</v>
      </c>
      <c r="I12" t="s">
        <v>102</v>
      </c>
      <c r="J12"/>
      <c r="K12"/>
      <c r="L12" t="s">
        <v>102</v>
      </c>
      <c r="M12"/>
      <c r="N12" t="s">
        <v>102</v>
      </c>
      <c r="O12"/>
      <c r="P12" t="s">
        <v>102</v>
      </c>
      <c r="Q12"/>
      <c r="R12"/>
      <c r="S12" t="s">
        <v>552</v>
      </c>
      <c r="T12" t="s">
        <v>553</v>
      </c>
    </row>
  </sheetData>
  <mergeCells count="18"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  <mergeCell ref="G5:G6"/>
    <mergeCell ref="H5:H6"/>
  </mergeCells>
  <hyperlinks>
    <hyperlink ref="A1:E1" location="'Entidades'!A1" display="&lt;-Volver al inicio" xr:uid="{DF9BEC49-DE49-4C4C-B8E1-D9D9AC3A53C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00E38F6D3014A8F884FC2DDE00A5F" ma:contentTypeVersion="10" ma:contentTypeDescription="Create a new document." ma:contentTypeScope="" ma:versionID="b9d9c449c30894689f9e4803fcdcc950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147d521e260a21acc0bce216250d45dd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E2A7AE-CB58-44F4-8195-7E287552EB43}"/>
</file>

<file path=customXml/itemProps2.xml><?xml version="1.0" encoding="utf-8"?>
<ds:datastoreItem xmlns:ds="http://schemas.openxmlformats.org/officeDocument/2006/customXml" ds:itemID="{6F878460-2F3A-41BD-95C2-4CD9C0DA2538}"/>
</file>

<file path=customXml/itemProps3.xml><?xml version="1.0" encoding="utf-8"?>
<ds:datastoreItem xmlns:ds="http://schemas.openxmlformats.org/officeDocument/2006/customXml" ds:itemID="{D118E76D-845E-4B87-B63E-6F3831248D18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Alexander Cardona Alzate</cp:lastModifiedBy>
  <cp:revision/>
  <dcterms:created xsi:type="dcterms:W3CDTF">2023-03-29T19:04:22Z</dcterms:created>
  <dcterms:modified xsi:type="dcterms:W3CDTF">2026-01-22T23:42:32Z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0x0101009AE00E38F6D3014A8F884FC2DDE00A5F</vt:lpwstr>
  </property>
  <property fmtid="{D5CDD505-2E9C-101B-9397-08002B2CF9AE}" pid="12" name="MediaServiceImageTags">
    <vt:lpwstr/>
  </property>
</Properties>
</file>