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a\Downloads\OneDrive_2024-01-30\Sesión 1\"/>
    </mc:Choice>
  </mc:AlternateContent>
  <xr:revisionPtr revIDLastSave="2474" documentId="13_ncr:1_{2E0A9A2F-DA7B-4272-82AE-1D50681451FE}" xr6:coauthVersionLast="47" xr6:coauthVersionMax="47" xr10:uidLastSave="{C867F254-2292-4512-9506-36861688EECE}"/>
  <bookViews>
    <workbookView xWindow="-120" yWindow="-120" windowWidth="20640" windowHeight="11160" firstSheet="1" activeTab="22" xr2:uid="{59653BFD-5B7C-4315-9D96-3FD5833491E5}"/>
  </bookViews>
  <sheets>
    <sheet name="Diagrama de clases" sheetId="1" r:id="rId1"/>
    <sheet name="Clases" sheetId="2" r:id="rId2"/>
    <sheet name="Producto" sheetId="3" r:id="rId3"/>
    <sheet name="Categoria" sheetId="6" r:id="rId4"/>
    <sheet name="UnidadMedida" sheetId="8" r:id="rId5"/>
    <sheet name="EstadoUsuario" sheetId="9" r:id="rId6"/>
    <sheet name="Rol" sheetId="10" r:id="rId7"/>
    <sheet name="Valores" sheetId="4" state="hidden" r:id="rId8"/>
    <sheet name="Usuario" sheetId="7" r:id="rId9"/>
    <sheet name="Persona" sheetId="12" r:id="rId10"/>
    <sheet name="Cliente" sheetId="13" r:id="rId11"/>
    <sheet name="TipoIdentificacion" sheetId="14" r:id="rId12"/>
    <sheet name="Venta" sheetId="15" r:id="rId13"/>
    <sheet name="Sede" sheetId="16" r:id="rId14"/>
    <sheet name="DetalleVenta" sheetId="18" r:id="rId15"/>
    <sheet name="Pago" sheetId="19" r:id="rId16"/>
    <sheet name="Produccion" sheetId="20" r:id="rId17"/>
    <sheet name="ProduccionDetalle" sheetId="21" r:id="rId18"/>
    <sheet name="insumo" sheetId="28" r:id="rId19"/>
    <sheet name="DetalleAbastecimiento" sheetId="23" r:id="rId20"/>
    <sheet name="Abastecimiento" sheetId="24" r:id="rId21"/>
    <sheet name="Proveedor" sheetId="26" r:id="rId22"/>
    <sheet name="StockSede" sheetId="27" r:id="rId23"/>
  </sheets>
  <definedNames>
    <definedName name="_xlnm._FilterDatabase" localSheetId="20" hidden="1">Abastecimiento!$A$12:$A$13</definedName>
    <definedName name="_xlnm._FilterDatabase" localSheetId="3" hidden="1">Categoria!$A$11:$A$12</definedName>
    <definedName name="_xlnm._FilterDatabase" localSheetId="10" hidden="1">Cliente!$A$12:$A$13</definedName>
    <definedName name="_xlnm._FilterDatabase" localSheetId="19" hidden="1">DetalleAbastecimiento!$A$13:$A$14</definedName>
    <definedName name="_xlnm._FilterDatabase" localSheetId="14" hidden="1">DetalleVenta!$A$12:$A$13</definedName>
    <definedName name="_xlnm._FilterDatabase" localSheetId="5" hidden="1">EstadoUsuario!$A$11:$A$12</definedName>
    <definedName name="_xlnm._FilterDatabase" localSheetId="18" hidden="1">insumo!$A$12:$A$13</definedName>
    <definedName name="_xlnm._FilterDatabase" localSheetId="15" hidden="1">Pago!$A$11:$A$12</definedName>
    <definedName name="_xlnm._FilterDatabase" localSheetId="9" hidden="1">Persona!$A$12:$A$13</definedName>
    <definedName name="_xlnm._FilterDatabase" localSheetId="16" hidden="1">Produccion!$A$13:$A$14</definedName>
    <definedName name="_xlnm._FilterDatabase" localSheetId="17" hidden="1">ProduccionDetalle!$A$12:$A$13</definedName>
    <definedName name="_xlnm._FilterDatabase" localSheetId="2" hidden="1">Producto!$A$17:$A$18</definedName>
    <definedName name="_xlnm._FilterDatabase" localSheetId="21" hidden="1">Proveedor!$A$11:$A$12</definedName>
    <definedName name="_xlnm._FilterDatabase" localSheetId="6" hidden="1">Rol!$A$11:$A$12</definedName>
    <definedName name="_xlnm._FilterDatabase" localSheetId="13" hidden="1">Sede!$A$11:$A$12</definedName>
    <definedName name="_xlnm._FilterDatabase" localSheetId="22" hidden="1">StockSede!$A$12:$A$13</definedName>
    <definedName name="_xlnm._FilterDatabase" localSheetId="11" hidden="1">TipoIdentificacion!$A$11:$A$12</definedName>
    <definedName name="_xlnm._FilterDatabase" localSheetId="4" hidden="1">UnidadMedida!$A$11:$A$12</definedName>
    <definedName name="_xlnm._FilterDatabase" localSheetId="8" hidden="1">Usuario!$A$13:$A$14</definedName>
    <definedName name="_xlnm._FilterDatabase" localSheetId="12" hidden="1">Venta!$A$13:$A$14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27" l="1"/>
  <c r="B4" i="19"/>
  <c r="B3" i="19"/>
  <c r="B2" i="19"/>
  <c r="B4" i="28"/>
  <c r="B3" i="28"/>
  <c r="B2" i="28"/>
  <c r="A4" i="28"/>
  <c r="A3" i="28"/>
  <c r="A2" i="28"/>
  <c r="B2" i="13"/>
  <c r="B3" i="6"/>
  <c r="B4" i="27"/>
  <c r="B3" i="27"/>
  <c r="B2" i="27"/>
  <c r="B4" i="26"/>
  <c r="B3" i="26"/>
  <c r="B2" i="26"/>
  <c r="B4" i="24"/>
  <c r="B3" i="24"/>
  <c r="B2" i="24"/>
  <c r="B4" i="23"/>
  <c r="B3" i="23"/>
  <c r="B2" i="23"/>
  <c r="B21" i="23" s="1"/>
  <c r="B4" i="21"/>
  <c r="B3" i="21"/>
  <c r="B2" i="21"/>
  <c r="B4" i="20"/>
  <c r="B3" i="20"/>
  <c r="B2" i="20"/>
  <c r="B4" i="18"/>
  <c r="B3" i="18"/>
  <c r="B2" i="18"/>
  <c r="E11" i="3" s="1"/>
  <c r="B4" i="16"/>
  <c r="B3" i="16"/>
  <c r="B2" i="16"/>
  <c r="B4" i="15"/>
  <c r="B3" i="15"/>
  <c r="B2" i="15"/>
  <c r="B4" i="14"/>
  <c r="B3" i="14"/>
  <c r="B2" i="14"/>
  <c r="B4" i="13"/>
  <c r="B3" i="13"/>
  <c r="B4" i="12"/>
  <c r="B3" i="12"/>
  <c r="B2" i="12"/>
  <c r="B4" i="10"/>
  <c r="B3" i="10"/>
  <c r="B2" i="10"/>
  <c r="B4" i="9"/>
  <c r="B3" i="9"/>
  <c r="B2" i="9"/>
  <c r="A4" i="27"/>
  <c r="A3" i="27"/>
  <c r="A2" i="27"/>
  <c r="A4" i="26"/>
  <c r="A3" i="26"/>
  <c r="A2" i="26"/>
  <c r="A4" i="24"/>
  <c r="A3" i="24"/>
  <c r="A2" i="24"/>
  <c r="A4" i="23"/>
  <c r="A3" i="23"/>
  <c r="A2" i="23"/>
  <c r="A4" i="21"/>
  <c r="A3" i="21"/>
  <c r="A2" i="21"/>
  <c r="A4" i="20"/>
  <c r="A3" i="20"/>
  <c r="A2" i="20"/>
  <c r="A4" i="19"/>
  <c r="A3" i="19"/>
  <c r="A2" i="19"/>
  <c r="A4" i="18"/>
  <c r="A3" i="18"/>
  <c r="A2" i="18"/>
  <c r="A4" i="16"/>
  <c r="A3" i="16"/>
  <c r="A2" i="16"/>
  <c r="A4" i="15"/>
  <c r="A3" i="15"/>
  <c r="A2" i="15"/>
  <c r="A4" i="14"/>
  <c r="A3" i="14"/>
  <c r="A2" i="14"/>
  <c r="A4" i="13"/>
  <c r="A3" i="13"/>
  <c r="A2" i="13"/>
  <c r="A4" i="12"/>
  <c r="A3" i="12"/>
  <c r="A2" i="12"/>
  <c r="A4" i="10"/>
  <c r="A3" i="10"/>
  <c r="A2" i="10"/>
  <c r="A4" i="9"/>
  <c r="A3" i="9"/>
  <c r="A2" i="9"/>
  <c r="B4" i="8"/>
  <c r="B3" i="8"/>
  <c r="B2" i="8"/>
  <c r="A4" i="8"/>
  <c r="A3" i="8"/>
  <c r="A2" i="8"/>
  <c r="B4" i="7"/>
  <c r="B3" i="7"/>
  <c r="B2" i="7"/>
  <c r="B25" i="7" s="1"/>
  <c r="B4" i="6"/>
  <c r="B2" i="6"/>
  <c r="E9" i="3" s="1"/>
  <c r="A4" i="7"/>
  <c r="A3" i="7"/>
  <c r="A2" i="7"/>
  <c r="A4" i="6"/>
  <c r="A3" i="6"/>
  <c r="A2" i="6"/>
  <c r="A4" i="3"/>
  <c r="A3" i="3"/>
  <c r="A2" i="3"/>
  <c r="B4" i="3"/>
  <c r="B3" i="3"/>
  <c r="B2" i="3"/>
  <c r="B20" i="28" l="1"/>
  <c r="B19" i="28"/>
  <c r="E9" i="6"/>
  <c r="B21" i="27"/>
  <c r="B20" i="27"/>
  <c r="B19" i="26"/>
  <c r="B18" i="26"/>
  <c r="B21" i="24"/>
  <c r="B20" i="24"/>
  <c r="B22" i="23"/>
  <c r="B21" i="21"/>
  <c r="B20" i="21"/>
  <c r="B21" i="20"/>
  <c r="B20" i="20"/>
  <c r="B21" i="19"/>
  <c r="B20" i="19"/>
  <c r="B22" i="18"/>
  <c r="B21" i="18"/>
  <c r="B20" i="16"/>
  <c r="B19" i="16"/>
  <c r="B23" i="15"/>
  <c r="B22" i="15"/>
  <c r="B19" i="14"/>
  <c r="B18" i="14"/>
  <c r="B20" i="13"/>
  <c r="B19" i="13"/>
  <c r="B22" i="12"/>
  <c r="B21" i="12"/>
  <c r="E9" i="8"/>
  <c r="B19" i="10"/>
  <c r="B18" i="10"/>
  <c r="B19" i="9"/>
  <c r="B18" i="9"/>
  <c r="B19" i="8"/>
  <c r="B18" i="8"/>
  <c r="B19" i="6"/>
  <c r="B28" i="3"/>
  <c r="B18" i="6"/>
  <c r="B2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tc={10440E2E-B793-403B-9AB3-2CA5F53AD0D1}</author>
  </authors>
  <commentList>
    <comment ref="B23" authorId="0" shapeId="0" xr:uid="{10440E2E-B793-403B-9AB3-2CA5F53AD0D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No hay setid?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tc={B7E18BB1-7B1B-41F6-8313-08ECBD20CAF5}</author>
  </authors>
  <commentList>
    <comment ref="B24" authorId="0" shapeId="0" xr:uid="{B7E18BB1-7B1B-41F6-8313-08ECBD20CAF5}">
      <text>
        <t>[Threaded comment]
Your version of Excel allows you to read this threaded comment; however, any edits to it will get removed if the file is opened in a newer version of Excel. Learn more: https://go.microsoft.com/fwlink/?linkid=870924
Comment:
    No es un get</t>
      </text>
    </comment>
  </commentList>
</comments>
</file>

<file path=xl/sharedStrings.xml><?xml version="1.0" encoding="utf-8"?>
<sst xmlns="http://schemas.openxmlformats.org/spreadsheetml/2006/main" count="3730" uniqueCount="607">
  <si>
    <t>En esta hoja se ubica la imagen del modelo, asegurando que sea clara y legible</t>
  </si>
  <si>
    <t>Clase</t>
  </si>
  <si>
    <t>Estereotipo</t>
  </si>
  <si>
    <t>Desripción</t>
  </si>
  <si>
    <t>Producto</t>
  </si>
  <si>
    <t>class</t>
  </si>
  <si>
    <t>Clase que representa un producto del sistema, incluyendo su identificación, precio, estado y relaciones con categorías, unidades de medida, ventas, producción y abastecimiento.</t>
  </si>
  <si>
    <t>Categoria</t>
  </si>
  <si>
    <t>Clase que representa la categoría a la que pertenecen los productos del sistema, permitiendo su clasificación y organización.</t>
  </si>
  <si>
    <t>UnidadMedida</t>
  </si>
  <si>
    <t xml:space="preserve"> Clase que representa la unidad de medida utilizada para cuantificar los productos del sistema.</t>
  </si>
  <si>
    <t>EstadoUsuario</t>
  </si>
  <si>
    <t>Clase que representa el estado en el que se encuentra un usuario del sistema.</t>
  </si>
  <si>
    <t>Rol</t>
  </si>
  <si>
    <t>Clase que representa el rol que puede tener un usuario dentro del sistema, definiendo sus permisos y nivel de acceso.</t>
  </si>
  <si>
    <t>Usuario</t>
  </si>
  <si>
    <t>Clase que representa un usuario del sistema con su información personal, credenciales de acceso y relaciones con rol y estado</t>
  </si>
  <si>
    <t>Persona</t>
  </si>
  <si>
    <t>Clase que representa una persona en el sistema con su información personal básica como nombres, apellidos y datos de contacto.</t>
  </si>
  <si>
    <t>Cliente</t>
  </si>
  <si>
    <t>Clase que representa un cliente del sistema, extendiendo la información de persona con datos específicos de cliente.</t>
  </si>
  <si>
    <t>TipoIdentificacion</t>
  </si>
  <si>
    <t>Clase que representa el tipo de identificación que puede tener una persona en el sistema (Cédula, Pasaporte, NIT, etc.).</t>
  </si>
  <si>
    <t>Venta</t>
  </si>
  <si>
    <t xml:space="preserve"> Clase que representa una venta realizada en el sistema, incluyendo información del cliente, estado, total y fecha de la transacción.</t>
  </si>
  <si>
    <t>Sede</t>
  </si>
  <si>
    <t>Clase que representa una sede o sucursal del sistema de la bloquera, donde se realizan las operaciones comerciales.</t>
  </si>
  <si>
    <t>DetalleVenta</t>
  </si>
  <si>
    <t>Clase que representa el detalle de una venta, conteniendo información sobre los productos vendidos, cantidades y precios.</t>
  </si>
  <si>
    <t>Pago</t>
  </si>
  <si>
    <t>Clase que representa un pago realizado por el cliente, incluyendo información sobre el monto, fecha y método de pago utilizado.</t>
  </si>
  <si>
    <t>Produccion</t>
  </si>
  <si>
    <t>Clase que representa una producción de bloques en el sistema, incluyendo información sobre la fecha, cantidad producida y detalles de producción.</t>
  </si>
  <si>
    <t>ProduccionDetalle</t>
  </si>
  <si>
    <t>Clase que representa el detalle de una producción, conteniendo información específica sobre los productos fabricados y sus cantidades.</t>
  </si>
  <si>
    <t>Insumo</t>
  </si>
  <si>
    <t>Clase que representa un insumo utilizado en el proceso de producción de bloques, incluyendo información sobre su disponibilidad y características.</t>
  </si>
  <si>
    <t>DetalleAbastecimiento</t>
  </si>
  <si>
    <t>Clase que representa el detalle de abastecimiento de insumos para la producción, incluyendo información sobre cantidades y fechas de compra.</t>
  </si>
  <si>
    <t>Abastecimiento</t>
  </si>
  <si>
    <t>Clase que representa el abastecimiento de insumos para la producción, incluyendo información sobre el número de factura, fecha y total del abastecimiento.</t>
  </si>
  <si>
    <t>Proveedor</t>
  </si>
  <si>
    <t>Clase que representa un proveedor de insumos del sistema, incluyendo su información de contacto y ubicación.</t>
  </si>
  <si>
    <t>StockSede</t>
  </si>
  <si>
    <t>Clase que representa el inventario de stock de productos en una sede específica, permitiendo el control de existencias por ubicación.</t>
  </si>
  <si>
    <t>&lt;-Volver al inicio</t>
  </si>
  <si>
    <t>Modificador acceso:</t>
  </si>
  <si>
    <t>default</t>
  </si>
  <si>
    <t>Tipo clase:</t>
  </si>
  <si>
    <t>no final</t>
  </si>
  <si>
    <t>Relaciones</t>
  </si>
  <si>
    <t>Relación</t>
  </si>
  <si>
    <t>Tipo relación</t>
  </si>
  <si>
    <t>Estructura</t>
  </si>
  <si>
    <t>Necesita de</t>
  </si>
  <si>
    <t>Asociación</t>
  </si>
  <si>
    <t>Es usada por</t>
  </si>
  <si>
    <t>Atributos</t>
  </si>
  <si>
    <t>Modificador de aceso</t>
  </si>
  <si>
    <t>Nombre</t>
  </si>
  <si>
    <t>Tipo de dato</t>
  </si>
  <si>
    <t>Tipo modificación atributo</t>
  </si>
  <si>
    <t>Tipo acceso atributo</t>
  </si>
  <si>
    <t>Valor por defecto</t>
  </si>
  <si>
    <t>Descripción atributo</t>
  </si>
  <si>
    <t>¿Cuál?</t>
  </si>
  <si>
    <t>private</t>
  </si>
  <si>
    <t>idProducto</t>
  </si>
  <si>
    <t>long/Long</t>
  </si>
  <si>
    <t>no static</t>
  </si>
  <si>
    <t>Identificador único del producto</t>
  </si>
  <si>
    <t>nombre</t>
  </si>
  <si>
    <t>String</t>
  </si>
  <si>
    <t>Nombre del producto</t>
  </si>
  <si>
    <t>precio</t>
  </si>
  <si>
    <t>Otro</t>
  </si>
  <si>
    <t>BigDecimal</t>
  </si>
  <si>
    <t>Precio de venta del producto</t>
  </si>
  <si>
    <t>estadoProducto</t>
  </si>
  <si>
    <t>EstadoProducto</t>
  </si>
  <si>
    <t>Estado actual del producto (activo/inactivo)</t>
  </si>
  <si>
    <t>categoria</t>
  </si>
  <si>
    <t>Categoría a la que pertenece el producto</t>
  </si>
  <si>
    <t>unidadMedida</t>
  </si>
  <si>
    <t>Unidad de medida asociada al producto</t>
  </si>
  <si>
    <t>Constructores</t>
  </si>
  <si>
    <t>Tipo constructor</t>
  </si>
  <si>
    <t>Descripción</t>
  </si>
  <si>
    <t>Parámetros</t>
  </si>
  <si>
    <t>Excepciones</t>
  </si>
  <si>
    <t>Tipo parámetro</t>
  </si>
  <si>
    <t>public</t>
  </si>
  <si>
    <t>Defecto</t>
  </si>
  <si>
    <t>Constructor por defecto requerido por JPA</t>
  </si>
  <si>
    <t>Por valor</t>
  </si>
  <si>
    <t>—</t>
  </si>
  <si>
    <t>Precio del producto</t>
  </si>
  <si>
    <t>Parametrizado</t>
  </si>
  <si>
    <t>Constructor que inicializa los datos principales del producto</t>
  </si>
  <si>
    <t>Categoría asociada</t>
  </si>
  <si>
    <t>Unidad de medida</t>
  </si>
  <si>
    <t>Métodos accesores</t>
  </si>
  <si>
    <t>Tipo método accesor</t>
  </si>
  <si>
    <t>Tipo modificación método</t>
  </si>
  <si>
    <t>Tipo dato de retorno</t>
  </si>
  <si>
    <t>getIdProducto</t>
  </si>
  <si>
    <t>getter</t>
  </si>
  <si>
    <t>Obtiene el identificador del producto</t>
  </si>
  <si>
    <t>getNombre</t>
  </si>
  <si>
    <t>Obtiene el nombre del producto</t>
  </si>
  <si>
    <t>short/Short</t>
  </si>
  <si>
    <t>setNombre</t>
  </si>
  <si>
    <t>setter</t>
  </si>
  <si>
    <t>Asigna el nombre del producto</t>
  </si>
  <si>
    <t>getPrecio</t>
  </si>
  <si>
    <t>Obtiene el precio del producto</t>
  </si>
  <si>
    <t>setPrecio</t>
  </si>
  <si>
    <t>Asigna el precio del producto</t>
  </si>
  <si>
    <t>Métodos</t>
  </si>
  <si>
    <t>Tipo acceso método</t>
  </si>
  <si>
    <t>obtenerIdProducto</t>
  </si>
  <si>
    <t>Retorna el identificador del producto</t>
  </si>
  <si>
    <t>obtenerNombre</t>
  </si>
  <si>
    <t>Retorna el nombre del producto</t>
  </si>
  <si>
    <t>texto</t>
  </si>
  <si>
    <t>Parámetro que se va a imprimir</t>
  </si>
  <si>
    <t>cambiarPrecio</t>
  </si>
  <si>
    <t>Modifica el precio del producto</t>
  </si>
  <si>
    <t>activar</t>
  </si>
  <si>
    <t>Cambia el estado del producto a activo</t>
  </si>
  <si>
    <t>inactivar</t>
  </si>
  <si>
    <t>Cambia el estado del producto a inactivo</t>
  </si>
  <si>
    <t>Parámetro que representa el nuevo precio del producto</t>
  </si>
  <si>
    <t>id</t>
  </si>
  <si>
    <t>Identificador único de la categoría</t>
  </si>
  <si>
    <t>Nombre de la categoría</t>
  </si>
  <si>
    <t>Constructor por defecto que inicializa una nueva instancia de UnidadMedida sin parámetros</t>
  </si>
  <si>
    <t>Parámetro que representa el identificador único de la unidad de medida</t>
  </si>
  <si>
    <t>Constructor parametrizado que inicializa una UnidadMedida con sus atributos id y nombre</t>
  </si>
  <si>
    <t>Parámetro que representa el nombre de la unidad de medida</t>
  </si>
  <si>
    <t>getId</t>
  </si>
  <si>
    <t>Método encargado de obtener el valor del atributo id</t>
  </si>
  <si>
    <t>Método encargado de obtener el valor del atributo nombre</t>
  </si>
  <si>
    <t>Método encargado de colocar el valor al atributo nombre</t>
  </si>
  <si>
    <t>Método encargado de obtener el nombre de la unidad de medida</t>
  </si>
  <si>
    <t>Identificador único de la unidad de medida</t>
  </si>
  <si>
    <t>Nombre de la unidad de medida</t>
  </si>
  <si>
    <t>Constructor por defecto que inicializa una nueva instancia de Categoria sin parámetros</t>
  </si>
  <si>
    <t>Parámetro que representa el identificador único de la categoría</t>
  </si>
  <si>
    <t>Constructor parametrizado que inicializa una Categoria con sus atributos id y nombre</t>
  </si>
  <si>
    <t>Parámetro que representa el nombre de la categoría</t>
  </si>
  <si>
    <t>Parámetro que representa el identificador a asignar al atributo id</t>
  </si>
  <si>
    <t>Parámetro que representa el nombre a asignar al atributo nombre</t>
  </si>
  <si>
    <t>retornarNuevoNombre</t>
  </si>
  <si>
    <t>Método encargado de retornar un nuevo nombre para la categoría basado en el parámetro recibido</t>
  </si>
  <si>
    <t>Parámetro que representa el nuevo nombre de la categoría</t>
  </si>
  <si>
    <t>Identificador único del estado de usuario</t>
  </si>
  <si>
    <t>Nombre del estado de usuario</t>
  </si>
  <si>
    <t>Constructor por defecto que inicializa una nueva instancia de EstadoUsuario sin parámetros</t>
  </si>
  <si>
    <t>Constructor parametrizado que inicializa un EstadoUsuario con sus atributos id y nombre</t>
  </si>
  <si>
    <t>Parámetro que representa el identificador único del estado de usuario</t>
  </si>
  <si>
    <t>Parámetro que representa el nombre del estado de usuario</t>
  </si>
  <si>
    <t>setId</t>
  </si>
  <si>
    <t>Método encargado de colocar el valor al atributo id</t>
  </si>
  <si>
    <t>Método encargado de obtener el nombre del estado de usuario</t>
  </si>
  <si>
    <t>Identificador único del rol</t>
  </si>
  <si>
    <t>Nombre del rol</t>
  </si>
  <si>
    <t>Constructor por defecto que inicializa una nueva instancia de Rol sin parámetros</t>
  </si>
  <si>
    <t>Constructor parametrizado que inicializa un Rol con sus atributos id y nombre</t>
  </si>
  <si>
    <t>Parámetro que representa el identificador único del rol</t>
  </si>
  <si>
    <t>Parámetro que representa el nombre del rol</t>
  </si>
  <si>
    <t>Método encargado de obtener el nombre del rol</t>
  </si>
  <si>
    <t>Modificador acceso clase top level</t>
  </si>
  <si>
    <t>Tipo estructura</t>
  </si>
  <si>
    <t>Tipo acceso</t>
  </si>
  <si>
    <t>Tipo de dato retorno método</t>
  </si>
  <si>
    <t>final</t>
  </si>
  <si>
    <t>byte/Byte</t>
  </si>
  <si>
    <t>static</t>
  </si>
  <si>
    <t>void</t>
  </si>
  <si>
    <t>abstract class</t>
  </si>
  <si>
    <t>Agregación</t>
  </si>
  <si>
    <t>protected</t>
  </si>
  <si>
    <t>Por referencia</t>
  </si>
  <si>
    <t>interface</t>
  </si>
  <si>
    <t>Composición</t>
  </si>
  <si>
    <t>int/Integer</t>
  </si>
  <si>
    <t>enum</t>
  </si>
  <si>
    <t>Dependencia</t>
  </si>
  <si>
    <t>record</t>
  </si>
  <si>
    <t>Herencia</t>
  </si>
  <si>
    <t>float/Float</t>
  </si>
  <si>
    <t>Realización</t>
  </si>
  <si>
    <t>double/Double</t>
  </si>
  <si>
    <t>char/Character</t>
  </si>
  <si>
    <t>boolean/Boolean</t>
  </si>
  <si>
    <t>Date</t>
  </si>
  <si>
    <t>Identificador único del usuario</t>
  </si>
  <si>
    <t>username</t>
  </si>
  <si>
    <t>Nombre de usuario para acceso al sistema</t>
  </si>
  <si>
    <t>hashedPassword</t>
  </si>
  <si>
    <t>Contraseña hasheada del usuario</t>
  </si>
  <si>
    <t>role</t>
  </si>
  <si>
    <t>Role</t>
  </si>
  <si>
    <t>Rol asignado al usuario</t>
  </si>
  <si>
    <t>sede</t>
  </si>
  <si>
    <t>Sede a la que pertenece el usuario</t>
  </si>
  <si>
    <t>isEnabled</t>
  </si>
  <si>
    <t>Indica si el usuario está habilitado en el sistema</t>
  </si>
  <si>
    <t>Constructor por defecto que inicializa una nueva instancia de Usuario sin parámetros</t>
  </si>
  <si>
    <t>Parámetro que representa el identificador único del usuario</t>
  </si>
  <si>
    <t>Constructor parametrizado que inicializa un Usuario con todos sus atributos</t>
  </si>
  <si>
    <t>Parámetro que representa el nombre de usuario</t>
  </si>
  <si>
    <t>Parámetro que representa la contraseña hasheada</t>
  </si>
  <si>
    <t>Parámetro que representa el rol del usuario</t>
  </si>
  <si>
    <t>Parámetro que representa la sede del usuario</t>
  </si>
  <si>
    <t>Parámetro que indica si el usuario está habilitado</t>
  </si>
  <si>
    <t>getUsername</t>
  </si>
  <si>
    <t>Método encargado de obtener el valor del atributo username</t>
  </si>
  <si>
    <t>Parámetro que representa el nombre de usuario a asignar</t>
  </si>
  <si>
    <t>setUsername</t>
  </si>
  <si>
    <t>Método encargado de colocar el valor al atributo username</t>
  </si>
  <si>
    <t>getHashedPassword</t>
  </si>
  <si>
    <t>Método encargado de obtener el valor del atributo hashedPassword</t>
  </si>
  <si>
    <t>Parámetro que representa la contraseña hasheada a asignar</t>
  </si>
  <si>
    <t>setHashedPassword</t>
  </si>
  <si>
    <t>Método encargado de colocar el valor al atributo hashedPassword</t>
  </si>
  <si>
    <t>getRole</t>
  </si>
  <si>
    <t>Método encargado de obtener el valor del atributo role</t>
  </si>
  <si>
    <t>Parámetro que representa el rol a asignar al usuario</t>
  </si>
  <si>
    <t>setRole</t>
  </si>
  <si>
    <t>Método encargado de colocar el valor al atributo role</t>
  </si>
  <si>
    <t>getSede</t>
  </si>
  <si>
    <t>Método encargado de obtener el valor del atributo sede</t>
  </si>
  <si>
    <t>Parámetro que representa la sede a asignar al usuario</t>
  </si>
  <si>
    <t>setSede</t>
  </si>
  <si>
    <t>Método encargado de colocar el valor al atributo sede</t>
  </si>
  <si>
    <t>Método encargado de obtener el valor del atributo isEnabled</t>
  </si>
  <si>
    <t>Parámetro que indica si el usuario debe estar habilitado</t>
  </si>
  <si>
    <t>setEnabled</t>
  </si>
  <si>
    <t>Método encargado de colocar el valor al atributo isEnabled</t>
  </si>
  <si>
    <t>cambiarPassword</t>
  </si>
  <si>
    <t>Método encargado de cambiar la contraseña del usuario</t>
  </si>
  <si>
    <t>password</t>
  </si>
  <si>
    <t>Parámetro que representa la nueva contraseña del usuario</t>
  </si>
  <si>
    <t>asignarRol</t>
  </si>
  <si>
    <t>Método encargado de asignar un rol al usuario</t>
  </si>
  <si>
    <t>Método encargado de verificar si el usuario está habilitado</t>
  </si>
  <si>
    <t>Identificador único de la persona</t>
  </si>
  <si>
    <t>firstName</t>
  </si>
  <si>
    <t>Primer nombre de la persona</t>
  </si>
  <si>
    <t>lastName</t>
  </si>
  <si>
    <t>Apellido de la persona</t>
  </si>
  <si>
    <t>email</t>
  </si>
  <si>
    <t>Correo electrónico de la persona</t>
  </si>
  <si>
    <t>Constructor por defecto que inicializa una nueva instancia de Persona sin parámetros</t>
  </si>
  <si>
    <t>Constructor parametrizado que inicializa una Persona con todos sus atributos</t>
  </si>
  <si>
    <t>Parámetro que representa el identificador único de la persona</t>
  </si>
  <si>
    <t>Parámetro que representa el primer nombre de la persona</t>
  </si>
  <si>
    <t>Parámetro que representa el apellido de la persona</t>
  </si>
  <si>
    <t>Parámetro que representa el correo electrónico de la persona</t>
  </si>
  <si>
    <t>getFirstName</t>
  </si>
  <si>
    <t>Método encargado de obtener el valor del atributo firstName</t>
  </si>
  <si>
    <t>Parámetro que representa el primer nombre a asignar</t>
  </si>
  <si>
    <t>setFirstName</t>
  </si>
  <si>
    <t>Método encargado de colocar el valor al atributo firstName</t>
  </si>
  <si>
    <t>getLastName</t>
  </si>
  <si>
    <t>Método encargado de obtener el valor del atributo lastName</t>
  </si>
  <si>
    <t>Parámetro que representa el apellido a asignar</t>
  </si>
  <si>
    <t>setLastName</t>
  </si>
  <si>
    <t>Método encargado de colocar el valor al atributo lastName</t>
  </si>
  <si>
    <t>getEmail</t>
  </si>
  <si>
    <t>Método encargado de obtener el valor del atributo email</t>
  </si>
  <si>
    <t>Parámetro que representa el correo electrónico a asignar</t>
  </si>
  <si>
    <t>setEmail</t>
  </si>
  <si>
    <t>Método encargado de colocar el valor al atributo email</t>
  </si>
  <si>
    <t>notificarPersona</t>
  </si>
  <si>
    <t>Método encargado de notificar a la persona</t>
  </si>
  <si>
    <t>Parámetro que representa el nuevo correo electrónico de contacto</t>
  </si>
  <si>
    <t>updateContactEmail</t>
  </si>
  <si>
    <t>Método encargado de actualizar el correo electrónico de contacto de la persona</t>
  </si>
  <si>
    <t>phone</t>
  </si>
  <si>
    <t>Parámetro que representa el nuevo teléfono de contacto</t>
  </si>
  <si>
    <t>Identificador único del cliente</t>
  </si>
  <si>
    <t>activated</t>
  </si>
  <si>
    <t>Estado de activación del cliente</t>
  </si>
  <si>
    <t>Constructor por defecto que inicializa una nueva instancia de Cliente sin parámetros</t>
  </si>
  <si>
    <t>Constructor parametrizado que inicializa un Cliente con todos sus atributos</t>
  </si>
  <si>
    <t>Parámetro que representa el identificador único del cliente</t>
  </si>
  <si>
    <t>Parámetro que representa el estado de activación del cliente</t>
  </si>
  <si>
    <t>getActivated</t>
  </si>
  <si>
    <t>Método encargado de obtener el valor del atributo activated</t>
  </si>
  <si>
    <t>setActivated</t>
  </si>
  <si>
    <t>Método encargado de colocar el valor al atributo activated</t>
  </si>
  <si>
    <t>Parámetro que representa el estado de activación a asignar</t>
  </si>
  <si>
    <t>updateActividadActividad</t>
  </si>
  <si>
    <t>Método encargado de actualizar la actividad del cliente</t>
  </si>
  <si>
    <t>actividad</t>
  </si>
  <si>
    <t>Parámetro que representa la nueva actividad del cliente</t>
  </si>
  <si>
    <t>string</t>
  </si>
  <si>
    <t>Parámetro adicional para la actualización de actividad</t>
  </si>
  <si>
    <t>Identificador único del tipo de identificación</t>
  </si>
  <si>
    <t>name</t>
  </si>
  <si>
    <t>Nombre del tipo de identificación</t>
  </si>
  <si>
    <t>Constructor por defecto que inicializa una nueva instancia de TipoIdentificacion sin parámetros</t>
  </si>
  <si>
    <t>Constructor parametrizado que inicializa un TipoIdentificacion con sus atributos id y name</t>
  </si>
  <si>
    <t>Parámetro que representa el identificador único del tipo de identificación</t>
  </si>
  <si>
    <t>Parámetro que representa el nombre del tipo de identificación</t>
  </si>
  <si>
    <t>getName</t>
  </si>
  <si>
    <t>Método encargado de obtener el valor del atributo name</t>
  </si>
  <si>
    <t>setName</t>
  </si>
  <si>
    <t>Método encargado de colocar el valor al atributo name</t>
  </si>
  <si>
    <t>Name</t>
  </si>
  <si>
    <t>Tiene</t>
  </si>
  <si>
    <t>EstadoVenta</t>
  </si>
  <si>
    <t>Identificador único de la venta</t>
  </si>
  <si>
    <t>fechaVenta</t>
  </si>
  <si>
    <t>List&lt;String&gt;</t>
  </si>
  <si>
    <t>Fecha en que se realizó la venta</t>
  </si>
  <si>
    <t>estado</t>
  </si>
  <si>
    <t>Estado actual de la venta</t>
  </si>
  <si>
    <t>total</t>
  </si>
  <si>
    <t>Monto total de la venta</t>
  </si>
  <si>
    <t>Constructor por defecto que inicializa una nueva instancia de Venta sin parámetros</t>
  </si>
  <si>
    <t>Constructor parametrizado que inicializa una Venta con todos sus atributos</t>
  </si>
  <si>
    <t>Parámetro que representa el identificador único de la venta</t>
  </si>
  <si>
    <t>LocalDate</t>
  </si>
  <si>
    <t>Parámetro que representa la fecha de la venta</t>
  </si>
  <si>
    <t>Parámetro que representa el estado de la venta</t>
  </si>
  <si>
    <t>Parámetro que representa el total de la venta</t>
  </si>
  <si>
    <t>Método encargado de obtener el valor del atributo atributoUno</t>
  </si>
  <si>
    <t>Método encargado de colocar el valor al atributo atributoUno</t>
  </si>
  <si>
    <t>getFechaVenta</t>
  </si>
  <si>
    <t>setFechaVenta</t>
  </si>
  <si>
    <t>Parámetro que representa la fecha a asignar al atributo fechaVenta</t>
  </si>
  <si>
    <t>getEstado</t>
  </si>
  <si>
    <t>setEstado</t>
  </si>
  <si>
    <t>Parámetro que representa el estado a asignar al atributo estado</t>
  </si>
  <si>
    <t>getTotal</t>
  </si>
  <si>
    <t>Método encargado de obtener el valor del atributo total</t>
  </si>
  <si>
    <t>setTotal</t>
  </si>
  <si>
    <t>Método encargado de colocar el valor al atributo total</t>
  </si>
  <si>
    <t>Parámetro que representa el total a asignar al atributo total</t>
  </si>
  <si>
    <t>calcularTotal</t>
  </si>
  <si>
    <t>Método encargado de calcular el total de la venta</t>
  </si>
  <si>
    <t>agregarDetalleVenta</t>
  </si>
  <si>
    <t>Método encargado de agregar un detalle a la venta</t>
  </si>
  <si>
    <t>detalleVenta</t>
  </si>
  <si>
    <t>Parámetro que representa el detalle de venta a agregar</t>
  </si>
  <si>
    <t>En caso de que el valor recibido por parámetro llegue vacío</t>
  </si>
  <si>
    <t>agregarPagoVenta</t>
  </si>
  <si>
    <t>Método encargado de agregar un pago a la venta</t>
  </si>
  <si>
    <t>pago</t>
  </si>
  <si>
    <t>Parámetro que representa el pago a agregar a la venta</t>
  </si>
  <si>
    <t>cambiarEstadoNuevoEstado</t>
  </si>
  <si>
    <t>Método encargado de cambiar el estado de la venta a un nuevo estado</t>
  </si>
  <si>
    <t>estadoVenta</t>
  </si>
  <si>
    <t>Parámetro que representa el nuevo estado de la venta</t>
  </si>
  <si>
    <t>Identificador único de la sede</t>
  </si>
  <si>
    <t>Nombre de la sede</t>
  </si>
  <si>
    <t>direccion</t>
  </si>
  <si>
    <t>Dirección física de la sede</t>
  </si>
  <si>
    <t>Constructor por defecto que inicializa una nueva instancia de Sede sin parámetros</t>
  </si>
  <si>
    <t>Constructor parametrizado que inicializa una Sede con todos sus atributos</t>
  </si>
  <si>
    <t>Parámetro que representa el identificador único de la sede</t>
  </si>
  <si>
    <t>Parámetro que representa el nombre de la sede</t>
  </si>
  <si>
    <t>Parámetro que representa la dirección de la sede</t>
  </si>
  <si>
    <t>getDireccion</t>
  </si>
  <si>
    <t>Método encargado de obtener el valor del atributo direccion</t>
  </si>
  <si>
    <t>setDireccion</t>
  </si>
  <si>
    <t>Método encargado de colocar el valor al atributo direccion</t>
  </si>
  <si>
    <t>Parámetro que representa la dirección a asignar al atributo direccion</t>
  </si>
  <si>
    <t>obtenerIdNombreNombreSede</t>
  </si>
  <si>
    <t>Método encargado de obtener el id y nombre de la sede</t>
  </si>
  <si>
    <t>recuperarDireccionNombreSede</t>
  </si>
  <si>
    <t>Método encargado de recuperar la dirección de la sede por su nombre</t>
  </si>
  <si>
    <t>nombreSede</t>
  </si>
  <si>
    <t>Parámetro que representa el nombre de la sede para recuperar dirección</t>
  </si>
  <si>
    <t>Identificador único del detalle de venta</t>
  </si>
  <si>
    <t>cantidad</t>
  </si>
  <si>
    <t>Cantidad del producto vendido</t>
  </si>
  <si>
    <t>precioUnitario</t>
  </si>
  <si>
    <t>Precio unitario del producto al momento de la venta</t>
  </si>
  <si>
    <t>subtotal</t>
  </si>
  <si>
    <t>Subtotal del detalle (cantidad * precioUnitario)</t>
  </si>
  <si>
    <t>Constructor por defecto que inicializa una nueva instancia de DetalleVenta sin parámetros</t>
  </si>
  <si>
    <t>Constructor parametrizado que inicializa un DetalleVenta con todos sus atributos</t>
  </si>
  <si>
    <t>Parámetro que representa el identificador único del detalle de venta</t>
  </si>
  <si>
    <t>Parámetro que representa la cantidad del producto</t>
  </si>
  <si>
    <t>Parámetro que representa el precio unitario del producto</t>
  </si>
  <si>
    <t>Parámetro que representa el subtotal del detalle</t>
  </si>
  <si>
    <t>getCantidad</t>
  </si>
  <si>
    <t>Método encargado de obtener el valor del atributo cantidad</t>
  </si>
  <si>
    <t>setCantidad</t>
  </si>
  <si>
    <t>Método encargado de colocar el valor al atributo cantidad</t>
  </si>
  <si>
    <t>Parámetro que representa la cantidad a asignar al atributo cantidad</t>
  </si>
  <si>
    <t>getPrecioUnitario</t>
  </si>
  <si>
    <t>Método encargado de obtener el valor del atributo precioUnitario</t>
  </si>
  <si>
    <t>setPrecioUnitario</t>
  </si>
  <si>
    <t>Método encargado de colocar el valor al atributo precioUnitario</t>
  </si>
  <si>
    <t>Parámetro que representa el precio unitario a asignar</t>
  </si>
  <si>
    <t>getSubtotal</t>
  </si>
  <si>
    <t>Método encargado de obtener el valor del atributo subtotal</t>
  </si>
  <si>
    <t>setSubtotal</t>
  </si>
  <si>
    <t>Método encargado de colocar el valor al atributo subtotal</t>
  </si>
  <si>
    <t>Parámetro que representa el subtotal a asignar al atributo subtotal</t>
  </si>
  <si>
    <t>obtenerSubtotal</t>
  </si>
  <si>
    <t>Método encargado de obtener el subtotal del detalle de venta</t>
  </si>
  <si>
    <t>actualizarCantidadProducto</t>
  </si>
  <si>
    <t>Método encargado de actualizar la cantidad de producto en el detalle</t>
  </si>
  <si>
    <t>Parámetro que representa la nueva cantidad del producto</t>
  </si>
  <si>
    <t>Identificador único del pago</t>
  </si>
  <si>
    <t>Monto o cantidad del pago realizado</t>
  </si>
  <si>
    <t>fechaPago</t>
  </si>
  <si>
    <t>LocalDateTime</t>
  </si>
  <si>
    <t>Fecha y hora en que se realizó el pago</t>
  </si>
  <si>
    <t>metodoPago</t>
  </si>
  <si>
    <t>MetodoPago</t>
  </si>
  <si>
    <t>Método de pago utilizado para la transacción</t>
  </si>
  <si>
    <t>Constructor por defecto que inicializa una nueva instancia de Pago sin parámetros</t>
  </si>
  <si>
    <t>Constructor parametrizado que inicializa un Pago con todos sus atributos</t>
  </si>
  <si>
    <t>Parámetro que representa el identificador único del pago</t>
  </si>
  <si>
    <t>Parámetro que representa la cantidad del pago</t>
  </si>
  <si>
    <t>Parámetro que representa la fecha y hora del pago</t>
  </si>
  <si>
    <t>Parámetro que representa el método de pago utilizado</t>
  </si>
  <si>
    <t>getFechaPago</t>
  </si>
  <si>
    <t>Método encargado de obtener el valor del atributo fechaPago</t>
  </si>
  <si>
    <t>setFechaPago</t>
  </si>
  <si>
    <t>Método encargado de colocar el valor al atributo fechaPago</t>
  </si>
  <si>
    <t>getMetodoPago</t>
  </si>
  <si>
    <t>Método encargado de obtener el valor del atributo metodoPago</t>
  </si>
  <si>
    <t>setMetodoPago</t>
  </si>
  <si>
    <t>Método encargado de colocar el valor al atributo metodoPago</t>
  </si>
  <si>
    <t>aplicarAVenta</t>
  </si>
  <si>
    <t>Método encargado de aplicar el pago a una venta específica</t>
  </si>
  <si>
    <t>venta</t>
  </si>
  <si>
    <t>Parámetro que representa la venta a la cual se aplicará el pago</t>
  </si>
  <si>
    <t>esValido</t>
  </si>
  <si>
    <t>Método encargado de validar si el pago es válido</t>
  </si>
  <si>
    <t>idProduccion</t>
  </si>
  <si>
    <t>Identificador único de la producción</t>
  </si>
  <si>
    <t>fechaProduccion</t>
  </si>
  <si>
    <t>Fecha en que se realizó la producción</t>
  </si>
  <si>
    <t>Constructor por defecto que inicializa una nueva instancia de Produccion sin parámetros</t>
  </si>
  <si>
    <t>Constructor parametrizado que inicializa una Produccion con todos sus atributos</t>
  </si>
  <si>
    <t>Parámetro que representa el identificador único de la producción</t>
  </si>
  <si>
    <t>Parámetro que representa la fecha de la producción</t>
  </si>
  <si>
    <t>getIdProduccion</t>
  </si>
  <si>
    <t>Método encargado de obtener el valor del atributo idProduccion</t>
  </si>
  <si>
    <t>setIdProduccion</t>
  </si>
  <si>
    <t>Método encargado de colocar el valor al atributo idProduccion</t>
  </si>
  <si>
    <t>Parámetro que representa el identificador a asignar al atributo idProduccion</t>
  </si>
  <si>
    <t>getFechaProduccion</t>
  </si>
  <si>
    <t>Método encargado de obtener el valor del atributo fechaProduccion</t>
  </si>
  <si>
    <t>setFechaProduccion</t>
  </si>
  <si>
    <t>Método encargado de colocar el valor al atributo fechaProduccion</t>
  </si>
  <si>
    <t>Parámetro que representa la fecha a asignar al atributo fechaProduccion</t>
  </si>
  <si>
    <t>agregarProduccionDetalleDetalle</t>
  </si>
  <si>
    <t>Método encargado de agregar un detalle de producción a la producción</t>
  </si>
  <si>
    <t>detalle</t>
  </si>
  <si>
    <t>Parámetro que representa el detalle de producción a agregar o eliminar</t>
  </si>
  <si>
    <t>eliminarDetalleProduccionDetalle</t>
  </si>
  <si>
    <t>Método encargado de eliminar un detalle de producción de la producción</t>
  </si>
  <si>
    <t>finalizarProduccion</t>
  </si>
  <si>
    <t>Método encargado de finalizar el proceso de producción</t>
  </si>
  <si>
    <t>idDetalle</t>
  </si>
  <si>
    <t>Identificador único del detalle de producción</t>
  </si>
  <si>
    <t>FallerProduccion</t>
  </si>
  <si>
    <t>Cantidad de productos fallados en la producción</t>
  </si>
  <si>
    <t>cantidadAsociada</t>
  </si>
  <si>
    <t>Cantidad asociada de productos en el detalle</t>
  </si>
  <si>
    <t>Constructor por defecto que inicializa una nueva instancia de ProduccionDetalle sin parámetros</t>
  </si>
  <si>
    <t>Constructor parametrizado que inicializa un ProduccionDetalle con todos sus atributos</t>
  </si>
  <si>
    <t>Parámetro que representa el identificador único del detalle de producción</t>
  </si>
  <si>
    <t>Parámetro que representa la cantidad de productos fallados</t>
  </si>
  <si>
    <t>Parámetro que representa la cantidad asociada de productos</t>
  </si>
  <si>
    <t>getIdDetalle</t>
  </si>
  <si>
    <t>Método encargado de obtener el valor del atributo idDetalle</t>
  </si>
  <si>
    <t>setIdDetalle</t>
  </si>
  <si>
    <t>Método encargado de colocar el valor al atributo idDetalle</t>
  </si>
  <si>
    <t>Parámetro que representa el identificador a asignar al atributo idDetalle</t>
  </si>
  <si>
    <t>getFallerProduccion</t>
  </si>
  <si>
    <t>Método encargado de obtener el valor del atributo FallerProduccion</t>
  </si>
  <si>
    <t>setFallerProduccion</t>
  </si>
  <si>
    <t>Método encargado de colocar el valor al atributo FallerProduccion</t>
  </si>
  <si>
    <t>Parámetro que representa la cantidad fallada a asignar</t>
  </si>
  <si>
    <t>getCantidadAsociada</t>
  </si>
  <si>
    <t>Método encargado de obtener el valor del atributo cantidadAsociada</t>
  </si>
  <si>
    <t>setCantidadAsociada</t>
  </si>
  <si>
    <t>Método encargado de colocar el valor al atributo cantidadAsociada</t>
  </si>
  <si>
    <t>Parámetro que representa la cantidad asociada a asignar</t>
  </si>
  <si>
    <t>obtenerCantidadDesperdicio</t>
  </si>
  <si>
    <t>Método encargado de obtener la cantidad de desperdicio del detalle</t>
  </si>
  <si>
    <t>ManejoDeSobreCantidad</t>
  </si>
  <si>
    <t>Método encargado de manejar la cantidad sobrante en el detalle de producción</t>
  </si>
  <si>
    <t>Parámetro que representa la cantidad a manejar como sobrante</t>
  </si>
  <si>
    <t>idInsumo</t>
  </si>
  <si>
    <t>Identificador único del insumo</t>
  </si>
  <si>
    <t>esEntidadValida</t>
  </si>
  <si>
    <t>Indica si la entidad del insumo es válida</t>
  </si>
  <si>
    <t>Constructor por defecto que inicializa una nueva instancia de Insumo sin parámetros</t>
  </si>
  <si>
    <t>Constructor parametrizado que inicializa un Insumo con todos sus atributos</t>
  </si>
  <si>
    <t>Parámetro que representa el identificador único del insumo</t>
  </si>
  <si>
    <t>Parámetro que indica si la entidad del insumo es válida</t>
  </si>
  <si>
    <t>getIdInsumo</t>
  </si>
  <si>
    <t>Método encargado de obtener el valor del atributo idInsumo</t>
  </si>
  <si>
    <t>setIdInsumo</t>
  </si>
  <si>
    <t>Método encargado de colocar el valor al atributo idInsumo</t>
  </si>
  <si>
    <t>Parámetro que representa el identificador a asignar al atributo idInsumo</t>
  </si>
  <si>
    <t>isEsEntidadValida</t>
  </si>
  <si>
    <t>Método encargado de obtener el valor del atributo esEntidadValida</t>
  </si>
  <si>
    <t>setEsEntidadValida</t>
  </si>
  <si>
    <t>Método encargado de colocar el valor al atributo esEntidadValida</t>
  </si>
  <si>
    <t>Parámetro que indica si la entidad es válida a asignar</t>
  </si>
  <si>
    <t>idDetalleAbastecimiento</t>
  </si>
  <si>
    <t>Identificador único del detalle de abastecimiento</t>
  </si>
  <si>
    <t>Cantidad del insumo abastecido</t>
  </si>
  <si>
    <t>precioCompra</t>
  </si>
  <si>
    <t>Precio de compra del insumo</t>
  </si>
  <si>
    <t>Constructor por defecto que inicializa una nueva instancia de DetalleAbastecimiento sin parámetros</t>
  </si>
  <si>
    <t>Constructor parametrizado que inicializa un DetalleAbastecimiento con todos sus atributos</t>
  </si>
  <si>
    <t>Parámetro que representa el identificador único del detalle de abastecimiento</t>
  </si>
  <si>
    <t>Parámetro que representa la cantidad del insumo</t>
  </si>
  <si>
    <t>Parámetro que representa el precio de compra del insumo</t>
  </si>
  <si>
    <t>getIdDetalleAbastecimiento</t>
  </si>
  <si>
    <t>Método encargado de obtener el valor del atributo idDetalleAbastecimiento</t>
  </si>
  <si>
    <t>setIdDetalleAbastecimiento</t>
  </si>
  <si>
    <t>Método encargado de colocar el valor al atributo idDetalleAbastecimiento</t>
  </si>
  <si>
    <t>Parámetro que representa el identificador a asignar al atributo idDetalleAbastecimiento</t>
  </si>
  <si>
    <t>getPrecioCompra</t>
  </si>
  <si>
    <t>Método encargado de obtener el valor del atributo precioCompra</t>
  </si>
  <si>
    <t>setPrecioCompra</t>
  </si>
  <si>
    <t>Método encargado de colocar el valor al atributo precioCompra</t>
  </si>
  <si>
    <t>Parámetro que representa el precio de compra a asignar</t>
  </si>
  <si>
    <t>Método encargado de obtener el subtotal del detalle de abastecimiento</t>
  </si>
  <si>
    <t>obtenerIdSubTotal</t>
  </si>
  <si>
    <t>Método encargado de obtener el id del subtotal</t>
  </si>
  <si>
    <t>idAbastecimiento</t>
  </si>
  <si>
    <t>Identificador único del abastecimiento</t>
  </si>
  <si>
    <t>numeroFactura</t>
  </si>
  <si>
    <t>Número de factura del abastecimiento</t>
  </si>
  <si>
    <t>totalAbastecimiento</t>
  </si>
  <si>
    <t>Total del monto del abastecimiento</t>
  </si>
  <si>
    <t>Constructor por defecto que inicializa una nueva instancia de Abastecimiento sin parámetros</t>
  </si>
  <si>
    <t>Constructor parametrizado que inicializa un Abastecimiento con todos sus atributos</t>
  </si>
  <si>
    <t>Parámetro que representa el identificador único del abastecimiento</t>
  </si>
  <si>
    <t>Parámetro que representa el número de factura</t>
  </si>
  <si>
    <t>Parámetro que representa el total del abastecimiento</t>
  </si>
  <si>
    <t>getIdAbastecimiento</t>
  </si>
  <si>
    <t>Método encargado de obtener el valor del atributo idAbastecimiento</t>
  </si>
  <si>
    <t>setIdAbastecimiento</t>
  </si>
  <si>
    <t>Método encargado de colocar el valor al atributo idAbastecimiento</t>
  </si>
  <si>
    <t>Parámetro que representa el identificador a asignar al atributo idAbastecimiento</t>
  </si>
  <si>
    <t>getNumeroFactura</t>
  </si>
  <si>
    <t>Método encargado de obtener el valor del atributo numeroFactura</t>
  </si>
  <si>
    <t>setNumeroFactura</t>
  </si>
  <si>
    <t>Método encargado de colocar el valor al atributo numeroFactura</t>
  </si>
  <si>
    <t>Parámetro que representa el número de factura a asignar</t>
  </si>
  <si>
    <t>getTotalAbastecimiento</t>
  </si>
  <si>
    <t>Método encargado de obtener el valor del atributo totalAbastecimiento</t>
  </si>
  <si>
    <t>setTotalAbastecimiento</t>
  </si>
  <si>
    <t>Método encargado de colocar el valor al atributo totalAbastecimiento</t>
  </si>
  <si>
    <t>Parámetro que representa el total a asignar al atributo totalAbastecimiento</t>
  </si>
  <si>
    <t>agregarDetalleAbastecimiento</t>
  </si>
  <si>
    <t>Método encargado de agregar un detalle al abastecimiento</t>
  </si>
  <si>
    <t>detalleAbastecimiento</t>
  </si>
  <si>
    <t>Parámetro que representa el detalle de abastecimiento a agregar</t>
  </si>
  <si>
    <t>Método encargado de calcular el total del abastecimiento</t>
  </si>
  <si>
    <t>Identificador único del proveedor</t>
  </si>
  <si>
    <t>nombreProveedor</t>
  </si>
  <si>
    <t>Nombre del proveedor</t>
  </si>
  <si>
    <t>Constructor por defecto que inicializa una nueva instancia de Proveedor sin parámetros</t>
  </si>
  <si>
    <t>Constructor parametrizado que inicializa un Proveedor con todos sus atributos</t>
  </si>
  <si>
    <t>Parámetro que representa el identificador único del proveedor</t>
  </si>
  <si>
    <t>Parámetro que representa el nombre del proveedor</t>
  </si>
  <si>
    <t>getNombreProveedor</t>
  </si>
  <si>
    <t>Método encargado de obtener el valor del atributo nombreProveedor</t>
  </si>
  <si>
    <t>setNombreProveedor</t>
  </si>
  <si>
    <t>Método encargado de colocar el valor al atributo nombreProveedor</t>
  </si>
  <si>
    <t>Parámetro que representa el nombre del proveedor a asignar</t>
  </si>
  <si>
    <t>EstáActivo</t>
  </si>
  <si>
    <t>Método encargado de verificar si el proveedor está activo</t>
  </si>
  <si>
    <t>Identificador único del stock de sede</t>
  </si>
  <si>
    <t>Cantidad de producto disponible en la sede</t>
  </si>
  <si>
    <t>ubicacionProducto</t>
  </si>
  <si>
    <t>Ubicación física del producto dentro de la sede</t>
  </si>
  <si>
    <t>Constructor por defecto que inicializa una nueva instancia de StockSede sin parámetros</t>
  </si>
  <si>
    <t>Constructor parametrizado que inicializa un StockSede con todos sus atributos</t>
  </si>
  <si>
    <t>Parámetro que representa el identificador único del stock de sede</t>
  </si>
  <si>
    <t>Parámetro que representa la cantidad de producto</t>
  </si>
  <si>
    <t>Parámetro que representa la ubicación del producto en la sede</t>
  </si>
  <si>
    <t>getUbicacionProducto</t>
  </si>
  <si>
    <t>Método encargado de obtener el valor del atributo ubicacionProducto</t>
  </si>
  <si>
    <t>setUbicacionProducto</t>
  </si>
  <si>
    <t>Método encargado de colocar el valor al atributo ubicacionProducto</t>
  </si>
  <si>
    <t>Parámetro que representa la ubicación a asignar al atributo ubicacionProducto</t>
  </si>
  <si>
    <t>obtenerCantidad</t>
  </si>
  <si>
    <t>Método encargado de obtener la cantidad de stock disponible</t>
  </si>
  <si>
    <t>incrementarCantidad</t>
  </si>
  <si>
    <t>Método encargado de incrementar la cantidad de stock</t>
  </si>
  <si>
    <t>Parámetro que representa la cantidad a incrementar o decrementar</t>
  </si>
  <si>
    <t>decrementarCantidad</t>
  </si>
  <si>
    <t>Método encargado de decrementar la cantidad de stock</t>
  </si>
  <si>
    <t>cambiarUbicacionUbicacion</t>
  </si>
  <si>
    <t>Método encargado de cambiar la ubicación del producto en la sede</t>
  </si>
  <si>
    <t>ubicacion</t>
  </si>
  <si>
    <t>Parámetro que representa la nueva ubicación del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</si>
</sst>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1" fillId="6" borderId="5" xfId="0" applyFont="1" applyFill="1" applyBorder="1" applyAlignment="1">
      <alignment vertical="center"/>
    </xf>
    <xf numFmtId="0" fontId="1" fillId="6" borderId="6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7" borderId="2" xfId="0" applyFont="1" applyFill="1" applyBorder="1" applyAlignment="1">
      <alignment vertical="center"/>
    </xf>
    <xf numFmtId="0" fontId="1" fillId="7" borderId="5" xfId="0" applyFont="1" applyFill="1" applyBorder="1" applyAlignment="1">
      <alignment vertical="center"/>
    </xf>
    <xf numFmtId="0" fontId="2" fillId="0" borderId="6" xfId="1" applyBorder="1" applyAlignment="1">
      <alignment vertical="center"/>
    </xf>
    <xf numFmtId="0" fontId="0" fillId="8" borderId="0" xfId="0" applyFill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2" fillId="0" borderId="6" xfId="2" applyBorder="1" applyAlignment="1">
      <alignment vertical="center"/>
    </xf>
    <xf numFmtId="0" fontId="2" fillId="0" borderId="12" xfId="2" applyBorder="1" applyAlignment="1">
      <alignment vertical="center"/>
    </xf>
    <xf numFmtId="0" fontId="2" fillId="0" borderId="20" xfId="2" applyBorder="1" applyAlignment="1">
      <alignment vertical="center"/>
    </xf>
    <xf numFmtId="0" fontId="2" fillId="9" borderId="5" xfId="2" applyFill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9" borderId="7" xfId="2" applyFill="1" applyBorder="1"/>
    <xf numFmtId="0" fontId="4" fillId="0" borderId="0" xfId="0" applyFont="1"/>
    <xf numFmtId="0" fontId="0" fillId="0" borderId="1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2" fillId="0" borderId="13" xfId="1" applyBorder="1" applyAlignment="1">
      <alignment horizontal="left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5" xfId="0" applyBorder="1" applyAlignment="1">
      <alignment horizontal="left" vertical="center"/>
    </xf>
    <xf numFmtId="0" fontId="0" fillId="0" borderId="1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3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4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2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1" fillId="2" borderId="14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lef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7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0" fillId="9" borderId="1" xfId="0" applyFill="1" applyBorder="1" applyAlignment="1">
      <alignment vertical="center"/>
    </xf>
  </cellXfs>
  <cellStyles count="3">
    <cellStyle name="Hipervínculo" xfId="1" builtinId="8"/>
    <cellStyle name="Hyperlink" xfId="2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microsoft.com/office/2017/10/relationships/person" Target="persons/person.xml"/><Relationship Id="rId30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4</xdr:row>
      <xdr:rowOff>0</xdr:rowOff>
    </xdr:from>
    <xdr:to>
      <xdr:col>15</xdr:col>
      <xdr:colOff>47625</xdr:colOff>
      <xdr:row>44</xdr:row>
      <xdr:rowOff>104775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1BD0555-135C-2DCE-E6A3-5E7798552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762000"/>
          <a:ext cx="12239625" cy="77247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uz Mery Rios Alzate" id="{CB75D3F3-A826-4D72-B9C7-B9C48F7533FB}" userId="S::lrios@uco.edu.co::2c6e6b4f-8f58-4e67-a209-b646ce663b3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3" dT="2026-01-26T23:55:35.65" personId="{CB75D3F3-A826-4D72-B9C7-B9C48F7533FB}" id="{10440E2E-B793-403B-9AB3-2CA5F53AD0D1}">
    <text xml:space="preserve">No hay setid?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24" dT="2026-01-26T23:56:12.43" personId="{CB75D3F3-A826-4D72-B9C7-B9C48F7533FB}" id="{B7E18BB1-7B1B-41F6-8313-08ECBD20CAF5}">
    <text>No es un get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BDD5C-C31B-494F-AC8C-D9C6DB3214A6}">
  <dimension ref="A2"/>
  <sheetViews>
    <sheetView topLeftCell="A30" workbookViewId="0">
      <selection activeCell="H3" sqref="H3"/>
    </sheetView>
  </sheetViews>
  <sheetFormatPr defaultColWidth="11.42578125" defaultRowHeight="15"/>
  <cols>
    <col min="1" max="1" width="24.28515625" style="19" bestFit="1" customWidth="1"/>
    <col min="2" max="16384" width="11.42578125" style="19"/>
  </cols>
  <sheetData>
    <row r="2" spans="1:1">
      <c r="A2" s="19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55403-6348-4EA1-A621-73D3E528C0B5}">
  <dimension ref="A1:C25"/>
  <sheetViews>
    <sheetView workbookViewId="0">
      <selection activeCell="A7" sqref="A7"/>
    </sheetView>
  </sheetViews>
  <sheetFormatPr defaultColWidth="11.42578125" defaultRowHeight="15"/>
  <cols>
    <col min="1" max="1" width="26.5703125" customWidth="1"/>
    <col min="3" max="3" width="155.42578125" customWidth="1"/>
  </cols>
  <sheetData>
    <row r="1" spans="1:3">
      <c r="A1" s="24" t="s">
        <v>1</v>
      </c>
      <c r="B1" s="25" t="s">
        <v>2</v>
      </c>
      <c r="C1" s="26" t="s">
        <v>3</v>
      </c>
    </row>
    <row r="2" spans="1:3">
      <c r="A2" s="38" t="s">
        <v>4</v>
      </c>
      <c r="B2" s="20" t="s">
        <v>5</v>
      </c>
      <c r="C2" s="21" t="s">
        <v>6</v>
      </c>
    </row>
    <row r="3" spans="1:3">
      <c r="A3" s="38" t="s">
        <v>7</v>
      </c>
      <c r="B3" s="20" t="s">
        <v>5</v>
      </c>
      <c r="C3" s="21" t="s">
        <v>8</v>
      </c>
    </row>
    <row r="4" spans="1:3">
      <c r="A4" s="38" t="s">
        <v>9</v>
      </c>
      <c r="B4" s="20" t="s">
        <v>5</v>
      </c>
      <c r="C4" s="21" t="s">
        <v>10</v>
      </c>
    </row>
    <row r="5" spans="1:3">
      <c r="A5" s="38" t="s">
        <v>11</v>
      </c>
      <c r="B5" s="20" t="s">
        <v>5</v>
      </c>
      <c r="C5" s="21" t="s">
        <v>12</v>
      </c>
    </row>
    <row r="6" spans="1:3">
      <c r="A6" s="38" t="s">
        <v>13</v>
      </c>
      <c r="B6" s="20" t="s">
        <v>5</v>
      </c>
      <c r="C6" s="21" t="s">
        <v>14</v>
      </c>
    </row>
    <row r="7" spans="1:3">
      <c r="A7" s="38" t="s">
        <v>15</v>
      </c>
      <c r="B7" s="20" t="s">
        <v>5</v>
      </c>
      <c r="C7" s="21" t="s">
        <v>16</v>
      </c>
    </row>
    <row r="8" spans="1:3">
      <c r="A8" s="38" t="s">
        <v>17</v>
      </c>
      <c r="B8" s="20" t="s">
        <v>5</v>
      </c>
      <c r="C8" s="21" t="s">
        <v>18</v>
      </c>
    </row>
    <row r="9" spans="1:3">
      <c r="A9" s="38" t="s">
        <v>19</v>
      </c>
      <c r="B9" s="20" t="s">
        <v>5</v>
      </c>
      <c r="C9" s="21" t="s">
        <v>20</v>
      </c>
    </row>
    <row r="10" spans="1:3">
      <c r="A10" s="38" t="s">
        <v>21</v>
      </c>
      <c r="B10" s="20" t="s">
        <v>5</v>
      </c>
      <c r="C10" s="21" t="s">
        <v>22</v>
      </c>
    </row>
    <row r="11" spans="1:3">
      <c r="A11" s="38" t="s">
        <v>23</v>
      </c>
      <c r="B11" s="20" t="s">
        <v>5</v>
      </c>
      <c r="C11" s="21" t="s">
        <v>24</v>
      </c>
    </row>
    <row r="12" spans="1:3">
      <c r="A12" s="38" t="s">
        <v>25</v>
      </c>
      <c r="B12" s="20" t="s">
        <v>5</v>
      </c>
      <c r="C12" s="21" t="s">
        <v>26</v>
      </c>
    </row>
    <row r="13" spans="1:3">
      <c r="A13" s="41" t="s">
        <v>27</v>
      </c>
      <c r="B13" s="22" t="s">
        <v>5</v>
      </c>
      <c r="C13" s="23" t="s">
        <v>28</v>
      </c>
    </row>
    <row r="14" spans="1:3">
      <c r="A14" s="41" t="s">
        <v>29</v>
      </c>
      <c r="B14" s="22" t="s">
        <v>5</v>
      </c>
      <c r="C14" s="23" t="s">
        <v>30</v>
      </c>
    </row>
    <row r="15" spans="1:3">
      <c r="A15" s="41" t="s">
        <v>31</v>
      </c>
      <c r="B15" s="22" t="s">
        <v>5</v>
      </c>
      <c r="C15" s="23" t="s">
        <v>32</v>
      </c>
    </row>
    <row r="16" spans="1:3">
      <c r="A16" s="41" t="s">
        <v>33</v>
      </c>
      <c r="B16" s="22" t="s">
        <v>5</v>
      </c>
      <c r="C16" s="23" t="s">
        <v>34</v>
      </c>
    </row>
    <row r="17" spans="1:3">
      <c r="A17" s="41" t="s">
        <v>35</v>
      </c>
      <c r="B17" s="22" t="s">
        <v>5</v>
      </c>
      <c r="C17" s="23" t="s">
        <v>36</v>
      </c>
    </row>
    <row r="18" spans="1:3">
      <c r="A18" s="41" t="s">
        <v>37</v>
      </c>
      <c r="B18" s="22" t="s">
        <v>5</v>
      </c>
      <c r="C18" s="23" t="s">
        <v>38</v>
      </c>
    </row>
    <row r="19" spans="1:3" ht="15.75" customHeight="1">
      <c r="A19" s="41" t="s">
        <v>39</v>
      </c>
      <c r="B19" s="22" t="s">
        <v>5</v>
      </c>
      <c r="C19" s="23" t="s">
        <v>40</v>
      </c>
    </row>
    <row r="20" spans="1:3">
      <c r="A20" s="41" t="s">
        <v>41</v>
      </c>
      <c r="B20" s="22" t="s">
        <v>5</v>
      </c>
      <c r="C20" s="23" t="s">
        <v>42</v>
      </c>
    </row>
    <row r="21" spans="1:3">
      <c r="A21" s="41" t="s">
        <v>43</v>
      </c>
      <c r="B21" s="22" t="s">
        <v>5</v>
      </c>
      <c r="C21" s="23" t="s">
        <v>44</v>
      </c>
    </row>
    <row r="25" spans="1:3">
      <c r="C25" s="40"/>
    </row>
  </sheetData>
  <hyperlinks>
    <hyperlink ref="A2" location="'Producto'!A1" display="Producto" xr:uid="{9A8D5B9E-EA38-4D69-BA3E-18259FB2B9A1}"/>
    <hyperlink ref="A3" location="'Categoria'!A1" display="Categoria" xr:uid="{D4951343-63BD-42E6-ADF1-4D0EEEFC485A}"/>
    <hyperlink ref="A7" location="'Usuario'!A1" display="Usuario" xr:uid="{E439FBBE-90A6-4E05-BCDB-4F73431CCB85}"/>
    <hyperlink ref="A4" location="'UnidadMedida'!A1" display="UnidadMedida" xr:uid="{AF4B105C-56B1-43C8-983B-F6F4FA92B5C9}"/>
    <hyperlink ref="A5" location="'EstadoUsuario'!A1" display="EstadoUsuario" xr:uid="{A097953A-30AB-4568-B20A-CE112D914925}"/>
    <hyperlink ref="A6" location="'RoL'!A1" display="Rol" xr:uid="{6D70A1D7-E794-44F4-B56F-B766CD2E41E2}"/>
    <hyperlink ref="A8" location="'Persona'!A1" display="Persona" xr:uid="{A08546F7-E5C2-4D26-ACB2-8AA529CEDFA9}"/>
    <hyperlink ref="A9" location="'Cliente'!A1" display="Cliente" xr:uid="{6FBAF77D-B481-42A0-946A-D59589F7396A}"/>
    <hyperlink ref="A10" location="'TipoIdentificacion'!A1" display="TipoIdentificacion" xr:uid="{86AC2002-8958-4E64-A409-8A648FDAF46A}"/>
    <hyperlink ref="A11" location="'Venta'!A1" display="Venta" xr:uid="{9D567D47-2D5D-46AD-9F42-D8AA6393549B}"/>
    <hyperlink ref="A12" location="'Sede'!A1" display="Sede" xr:uid="{CBC9464B-85BF-4E4F-A442-EE57908B9389}"/>
    <hyperlink ref="A13" location="'DetalleVenta'!A1" display="DetalleVenta" xr:uid="{054588DA-223F-4FC7-AC76-BD2CECC108BD}"/>
    <hyperlink ref="A14" location="'Pago'!A1" display="Pago" xr:uid="{064222A7-F96B-47DA-A8CD-26F4244EC7B5}"/>
    <hyperlink ref="A16" location="'ProduccionDetalle'!A1" display="ProduccionDetalle" xr:uid="{C9670DCE-A616-4F27-AEEA-DF33DAEF11BD}"/>
    <hyperlink ref="A15" location="'Produccion'!A1" display="Produccion" xr:uid="{7EB967BA-AEC9-4E3E-9896-9FB455C62AAC}"/>
    <hyperlink ref="A17" location="'Insumo'!A1" display="Insumo" xr:uid="{268B02E3-A34D-4181-B1BF-EF0683636E3C}"/>
    <hyperlink ref="A18" location="'DetalleAbastecimiento'!A1" display="DetalleAbastecimiento" xr:uid="{1E71D20C-9B64-48EA-9BA0-C730EFE142B3}"/>
    <hyperlink ref="A19" location="'Abastecimiento'!A1" display="Abastecimiento" xr:uid="{CC88686A-AC80-40DC-83D4-A247D407A67D}"/>
    <hyperlink ref="A20" location="'Proveedor'!A1" display="Proveedor" xr:uid="{DBDB008B-6F1B-4232-A223-D597EC684C67}"/>
    <hyperlink ref="A21" location="'StockSede'!A1" display="StockSede" xr:uid="{4B5AEBF0-8565-4CA2-A00E-563FE5EC2FD9}"/>
  </hyperlink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B9A3905-F7CB-4906-AFEA-123E9557842A}">
          <x14:formula1>
            <xm:f>Valores!$A$2:$A$6</xm:f>
          </x14:formula1>
          <xm:sqref>B2:B25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D7783-E295-4FC8-9545-497BD6184227}">
  <dimension ref="A1:N47"/>
  <sheetViews>
    <sheetView zoomScale="55" zoomScaleNormal="55" workbookViewId="0">
      <pane ySplit="1" topLeftCell="A23" activePane="bottomLeft" state="frozen"/>
      <selection pane="bottomLeft" activeCell="A50" sqref="A50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52.57031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52.8554687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Clases!A2</f>
        <v>Producto</v>
      </c>
      <c r="C2" s="77"/>
      <c r="D2" s="77"/>
      <c r="E2" s="78"/>
    </row>
    <row r="3" spans="1:14">
      <c r="A3" s="17" t="str">
        <f>Clases!$B$1</f>
        <v>Estereotipo</v>
      </c>
      <c r="B3" s="64" t="str">
        <f>Clases!B2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Clases!C2</f>
        <v>Clase que representa un producto del sistema, incluyendo su identificación, precio, estado y relaciones con categorías, unidades de medida, ventas, producción y abastecimiento.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54</v>
      </c>
      <c r="B9" s="64" t="s">
        <v>55</v>
      </c>
      <c r="C9" s="64"/>
      <c r="D9" s="64"/>
      <c r="E9" s="35" t="str">
        <f>Categoria!B2</f>
        <v>Categoria</v>
      </c>
    </row>
    <row r="10" spans="1:14">
      <c r="A10" s="9" t="s">
        <v>56</v>
      </c>
      <c r="B10" s="70" t="s">
        <v>55</v>
      </c>
      <c r="C10" s="70"/>
      <c r="D10" s="70"/>
      <c r="E10" s="35" t="s">
        <v>9</v>
      </c>
    </row>
    <row r="11" spans="1:14">
      <c r="A11" s="9" t="s">
        <v>56</v>
      </c>
      <c r="B11" s="70" t="s">
        <v>55</v>
      </c>
      <c r="C11" s="70"/>
      <c r="D11" s="70"/>
      <c r="E11" s="36" t="str">
        <f>DetalleVenta!B2</f>
        <v>DetalleVenta</v>
      </c>
    </row>
    <row r="12" spans="1:14">
      <c r="A12" s="9" t="s">
        <v>56</v>
      </c>
      <c r="B12" s="70" t="s">
        <v>55</v>
      </c>
      <c r="C12" s="70"/>
      <c r="D12" s="70"/>
      <c r="E12" s="36" t="s">
        <v>23</v>
      </c>
    </row>
    <row r="13" spans="1:14">
      <c r="A13" s="9" t="s">
        <v>56</v>
      </c>
      <c r="B13" s="70" t="s">
        <v>55</v>
      </c>
      <c r="C13" s="70"/>
      <c r="D13" s="70"/>
      <c r="E13" s="35" t="s">
        <v>35</v>
      </c>
    </row>
    <row r="14" spans="1:14">
      <c r="A14" s="9" t="s">
        <v>56</v>
      </c>
      <c r="B14" s="70" t="s">
        <v>55</v>
      </c>
      <c r="C14" s="70"/>
      <c r="D14" s="70"/>
      <c r="E14" s="35" t="s">
        <v>43</v>
      </c>
    </row>
    <row r="15" spans="1:14">
      <c r="A15" s="9" t="s">
        <v>56</v>
      </c>
      <c r="B15" s="70" t="s">
        <v>55</v>
      </c>
      <c r="C15" s="70"/>
      <c r="D15" s="70"/>
      <c r="E15" s="35" t="s">
        <v>37</v>
      </c>
      <c r="F15"/>
    </row>
    <row r="16" spans="1:14">
      <c r="A16" s="66" t="s">
        <v>57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8"/>
    </row>
    <row r="17" spans="1:14">
      <c r="A17" s="73" t="s">
        <v>58</v>
      </c>
      <c r="B17" s="71" t="s">
        <v>59</v>
      </c>
      <c r="C17" s="71" t="s">
        <v>60</v>
      </c>
      <c r="D17" s="71"/>
      <c r="E17" s="71" t="s">
        <v>61</v>
      </c>
      <c r="F17" s="71" t="s">
        <v>62</v>
      </c>
      <c r="G17" s="71" t="s">
        <v>63</v>
      </c>
      <c r="H17" s="71"/>
      <c r="I17" s="71"/>
      <c r="J17" s="71" t="s">
        <v>64</v>
      </c>
      <c r="K17" s="71"/>
      <c r="L17" s="71"/>
      <c r="M17" s="71"/>
      <c r="N17" s="72"/>
    </row>
    <row r="18" spans="1:14">
      <c r="A18" s="73"/>
      <c r="B18" s="71"/>
      <c r="C18" s="10" t="s">
        <v>60</v>
      </c>
      <c r="D18" s="10" t="s">
        <v>65</v>
      </c>
      <c r="E18" s="71"/>
      <c r="F18" s="71"/>
      <c r="G18" s="71"/>
      <c r="H18" s="71"/>
      <c r="I18" s="71"/>
      <c r="J18" s="71"/>
      <c r="K18" s="71"/>
      <c r="L18" s="71"/>
      <c r="M18" s="71"/>
      <c r="N18" s="72"/>
    </row>
    <row r="19" spans="1:14">
      <c r="A19" s="6" t="s">
        <v>66</v>
      </c>
      <c r="B19" s="3" t="s">
        <v>67</v>
      </c>
      <c r="C19" s="3" t="s">
        <v>68</v>
      </c>
      <c r="D19" s="3"/>
      <c r="E19" s="3" t="s">
        <v>49</v>
      </c>
      <c r="F19" s="3" t="s">
        <v>69</v>
      </c>
      <c r="G19" s="64"/>
      <c r="H19" s="64"/>
      <c r="I19" s="64"/>
      <c r="J19" s="64" t="s">
        <v>70</v>
      </c>
      <c r="K19" s="64"/>
      <c r="L19" s="64"/>
      <c r="M19" s="64"/>
      <c r="N19" s="65"/>
    </row>
    <row r="20" spans="1:14">
      <c r="A20" s="6" t="s">
        <v>66</v>
      </c>
      <c r="B20" s="3" t="s">
        <v>71</v>
      </c>
      <c r="C20" s="3" t="s">
        <v>72</v>
      </c>
      <c r="D20" s="3"/>
      <c r="E20" s="3" t="s">
        <v>49</v>
      </c>
      <c r="F20" s="3" t="s">
        <v>69</v>
      </c>
      <c r="G20" s="64"/>
      <c r="H20" s="64"/>
      <c r="I20" s="64"/>
      <c r="J20" s="64" t="s">
        <v>73</v>
      </c>
      <c r="K20" s="64"/>
      <c r="L20" s="64"/>
      <c r="M20" s="64"/>
      <c r="N20" s="65"/>
    </row>
    <row r="21" spans="1:14">
      <c r="A21" s="6" t="s">
        <v>66</v>
      </c>
      <c r="B21" s="3" t="s">
        <v>74</v>
      </c>
      <c r="C21" s="3" t="s">
        <v>75</v>
      </c>
      <c r="D21" s="3" t="s">
        <v>76</v>
      </c>
      <c r="E21" s="3" t="s">
        <v>49</v>
      </c>
      <c r="F21" s="3" t="s">
        <v>69</v>
      </c>
      <c r="G21" s="64"/>
      <c r="H21" s="64"/>
      <c r="I21" s="64"/>
      <c r="J21" s="64" t="s">
        <v>77</v>
      </c>
      <c r="K21" s="64"/>
      <c r="L21" s="64"/>
      <c r="M21" s="64"/>
      <c r="N21" s="65"/>
    </row>
    <row r="22" spans="1:14">
      <c r="A22" s="6" t="s">
        <v>66</v>
      </c>
      <c r="B22" s="3" t="s">
        <v>78</v>
      </c>
      <c r="C22" s="3" t="s">
        <v>75</v>
      </c>
      <c r="D22" s="3" t="s">
        <v>79</v>
      </c>
      <c r="E22" s="3" t="s">
        <v>49</v>
      </c>
      <c r="F22" s="3" t="s">
        <v>69</v>
      </c>
      <c r="G22" s="64"/>
      <c r="H22" s="64"/>
      <c r="I22" s="64"/>
      <c r="J22" s="64" t="s">
        <v>80</v>
      </c>
      <c r="K22" s="64"/>
      <c r="L22" s="64"/>
      <c r="M22" s="64"/>
      <c r="N22" s="65"/>
    </row>
    <row r="23" spans="1:14">
      <c r="A23" s="6" t="s">
        <v>66</v>
      </c>
      <c r="B23" s="3" t="s">
        <v>81</v>
      </c>
      <c r="C23" s="3" t="s">
        <v>75</v>
      </c>
      <c r="D23" s="3" t="s">
        <v>7</v>
      </c>
      <c r="E23" s="3" t="s">
        <v>49</v>
      </c>
      <c r="F23" s="3" t="s">
        <v>69</v>
      </c>
      <c r="G23" s="27"/>
      <c r="H23" s="27"/>
      <c r="I23" s="27"/>
      <c r="J23" s="45" t="s">
        <v>82</v>
      </c>
      <c r="K23" s="48"/>
      <c r="L23" s="48"/>
      <c r="M23" s="48"/>
      <c r="N23" s="46"/>
    </row>
    <row r="24" spans="1:14">
      <c r="A24" s="6" t="s">
        <v>66</v>
      </c>
      <c r="B24" s="3" t="s">
        <v>83</v>
      </c>
      <c r="C24" s="3" t="s">
        <v>75</v>
      </c>
      <c r="D24" s="3" t="s">
        <v>9</v>
      </c>
      <c r="E24" s="3" t="s">
        <v>49</v>
      </c>
      <c r="F24" s="3" t="s">
        <v>69</v>
      </c>
      <c r="G24" s="27"/>
      <c r="H24" s="27"/>
      <c r="I24" s="27"/>
      <c r="J24" s="45" t="s">
        <v>84</v>
      </c>
      <c r="K24" s="48"/>
      <c r="L24" s="48"/>
      <c r="M24" s="48"/>
      <c r="N24" s="46"/>
    </row>
    <row r="25" spans="1:14">
      <c r="A25" s="81" t="s">
        <v>85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3"/>
    </row>
    <row r="26" spans="1:14">
      <c r="A26" s="84" t="s">
        <v>58</v>
      </c>
      <c r="B26" s="79" t="s">
        <v>59</v>
      </c>
      <c r="C26" s="79" t="s">
        <v>86</v>
      </c>
      <c r="D26" s="79" t="s">
        <v>87</v>
      </c>
      <c r="E26" s="79" t="s">
        <v>88</v>
      </c>
      <c r="F26" s="79"/>
      <c r="G26" s="79"/>
      <c r="H26" s="79"/>
      <c r="I26" s="79"/>
      <c r="J26" s="79"/>
      <c r="K26" s="79"/>
      <c r="L26" s="79"/>
      <c r="M26" s="79" t="s">
        <v>89</v>
      </c>
      <c r="N26" s="80"/>
    </row>
    <row r="27" spans="1:14">
      <c r="A27" s="84"/>
      <c r="B27" s="79"/>
      <c r="C27" s="79"/>
      <c r="D27" s="79"/>
      <c r="E27" s="11" t="s">
        <v>59</v>
      </c>
      <c r="F27" s="11" t="s">
        <v>60</v>
      </c>
      <c r="G27" s="11" t="s">
        <v>65</v>
      </c>
      <c r="H27" s="11" t="s">
        <v>90</v>
      </c>
      <c r="I27" s="11" t="s">
        <v>61</v>
      </c>
      <c r="J27" s="79" t="s">
        <v>87</v>
      </c>
      <c r="K27" s="79"/>
      <c r="L27" s="79"/>
      <c r="M27" s="79"/>
      <c r="N27" s="80"/>
    </row>
    <row r="28" spans="1:14">
      <c r="A28" s="6" t="s">
        <v>91</v>
      </c>
      <c r="B28" s="43" t="str">
        <f>B2</f>
        <v>Producto</v>
      </c>
      <c r="C28" s="43" t="s">
        <v>92</v>
      </c>
      <c r="D28" s="43" t="s">
        <v>93</v>
      </c>
      <c r="E28" s="3" t="s">
        <v>71</v>
      </c>
      <c r="F28" s="3" t="s">
        <v>72</v>
      </c>
      <c r="G28" s="3"/>
      <c r="H28" s="3" t="s">
        <v>94</v>
      </c>
      <c r="I28" s="3" t="s">
        <v>49</v>
      </c>
      <c r="J28" s="45" t="s">
        <v>73</v>
      </c>
      <c r="K28" s="48"/>
      <c r="L28" s="49"/>
      <c r="M28" s="45" t="s">
        <v>95</v>
      </c>
      <c r="N28" s="46"/>
    </row>
    <row r="29" spans="1:14">
      <c r="A29" s="6" t="s">
        <v>91</v>
      </c>
      <c r="B29" s="85"/>
      <c r="C29" s="44"/>
      <c r="D29" s="44"/>
      <c r="E29" s="3" t="s">
        <v>74</v>
      </c>
      <c r="F29" s="3" t="s">
        <v>75</v>
      </c>
      <c r="G29" s="3" t="s">
        <v>76</v>
      </c>
      <c r="H29" s="3" t="s">
        <v>94</v>
      </c>
      <c r="I29" s="3" t="s">
        <v>49</v>
      </c>
      <c r="J29" s="45" t="s">
        <v>96</v>
      </c>
      <c r="K29" s="48"/>
      <c r="L29" s="49"/>
      <c r="M29" s="45" t="s">
        <v>95</v>
      </c>
      <c r="N29" s="46"/>
    </row>
    <row r="30" spans="1:14">
      <c r="A30" s="6" t="s">
        <v>91</v>
      </c>
      <c r="B30" s="85"/>
      <c r="C30" s="43" t="s">
        <v>97</v>
      </c>
      <c r="D30" s="43" t="s">
        <v>98</v>
      </c>
      <c r="E30" s="3" t="s">
        <v>81</v>
      </c>
      <c r="F30" s="3" t="s">
        <v>75</v>
      </c>
      <c r="G30" s="3" t="s">
        <v>7</v>
      </c>
      <c r="H30" s="3" t="s">
        <v>94</v>
      </c>
      <c r="I30" s="3" t="s">
        <v>49</v>
      </c>
      <c r="J30" s="50" t="s">
        <v>99</v>
      </c>
      <c r="K30" s="51"/>
      <c r="L30" s="52"/>
      <c r="M30" s="45" t="s">
        <v>95</v>
      </c>
      <c r="N30" s="46"/>
    </row>
    <row r="31" spans="1:14">
      <c r="A31" s="6" t="s">
        <v>91</v>
      </c>
      <c r="B31" s="44"/>
      <c r="C31" s="44"/>
      <c r="D31" s="44"/>
      <c r="E31" s="3" t="s">
        <v>83</v>
      </c>
      <c r="F31" s="3" t="s">
        <v>75</v>
      </c>
      <c r="G31" s="3" t="s">
        <v>9</v>
      </c>
      <c r="H31" s="3" t="s">
        <v>94</v>
      </c>
      <c r="I31" s="3" t="s">
        <v>49</v>
      </c>
      <c r="J31" s="45" t="s">
        <v>100</v>
      </c>
      <c r="K31" s="48"/>
      <c r="L31" s="49"/>
      <c r="M31" s="45" t="s">
        <v>95</v>
      </c>
      <c r="N31" s="46"/>
    </row>
    <row r="32" spans="1:14">
      <c r="A32" s="58" t="s">
        <v>101</v>
      </c>
      <c r="B32" s="59"/>
      <c r="C32" s="59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60"/>
    </row>
    <row r="33" spans="1:14">
      <c r="A33" s="63" t="s">
        <v>58</v>
      </c>
      <c r="B33" s="47" t="s">
        <v>59</v>
      </c>
      <c r="C33" s="47" t="s">
        <v>102</v>
      </c>
      <c r="D33" s="47" t="s">
        <v>103</v>
      </c>
      <c r="E33" s="47" t="s">
        <v>87</v>
      </c>
      <c r="F33" s="47" t="s">
        <v>88</v>
      </c>
      <c r="G33" s="47"/>
      <c r="H33" s="47"/>
      <c r="I33" s="47"/>
      <c r="J33" s="47"/>
      <c r="K33" s="47"/>
      <c r="L33" s="47" t="s">
        <v>104</v>
      </c>
      <c r="M33" s="47"/>
      <c r="N33" s="61" t="s">
        <v>89</v>
      </c>
    </row>
    <row r="34" spans="1:14">
      <c r="A34" s="63"/>
      <c r="B34" s="47"/>
      <c r="C34" s="47"/>
      <c r="D34" s="47"/>
      <c r="E34" s="47"/>
      <c r="F34" s="12" t="s">
        <v>59</v>
      </c>
      <c r="G34" s="12" t="s">
        <v>60</v>
      </c>
      <c r="H34" s="12" t="s">
        <v>65</v>
      </c>
      <c r="I34" s="12" t="s">
        <v>90</v>
      </c>
      <c r="J34" s="12" t="s">
        <v>61</v>
      </c>
      <c r="K34" s="12" t="s">
        <v>87</v>
      </c>
      <c r="L34" s="12" t="s">
        <v>60</v>
      </c>
      <c r="M34" s="12" t="s">
        <v>65</v>
      </c>
      <c r="N34" s="61"/>
    </row>
    <row r="35" spans="1:14">
      <c r="A35" s="6" t="s">
        <v>91</v>
      </c>
      <c r="B35" s="3" t="s">
        <v>105</v>
      </c>
      <c r="C35" s="3" t="s">
        <v>106</v>
      </c>
      <c r="D35" s="3" t="s">
        <v>49</v>
      </c>
      <c r="E35" s="3" t="s">
        <v>107</v>
      </c>
      <c r="F35" s="3"/>
      <c r="G35" s="3" t="s">
        <v>68</v>
      </c>
      <c r="H35" s="3"/>
      <c r="I35" s="3"/>
      <c r="J35" s="3"/>
      <c r="K35" s="3"/>
      <c r="L35" s="3" t="s">
        <v>68</v>
      </c>
      <c r="M35" s="3"/>
      <c r="N35" s="7"/>
    </row>
    <row r="36" spans="1:14">
      <c r="A36" s="6" t="s">
        <v>91</v>
      </c>
      <c r="B36" s="3" t="s">
        <v>108</v>
      </c>
      <c r="C36" s="3" t="s">
        <v>106</v>
      </c>
      <c r="D36" s="3" t="s">
        <v>49</v>
      </c>
      <c r="E36" s="3" t="s">
        <v>109</v>
      </c>
      <c r="F36" s="3"/>
      <c r="G36" s="3" t="s">
        <v>110</v>
      </c>
      <c r="H36" s="3"/>
      <c r="I36" s="3" t="s">
        <v>94</v>
      </c>
      <c r="J36" s="3" t="s">
        <v>49</v>
      </c>
      <c r="K36" s="3"/>
      <c r="L36" s="3"/>
      <c r="M36" s="3"/>
      <c r="N36" s="7"/>
    </row>
    <row r="37" spans="1:14">
      <c r="A37" s="6" t="s">
        <v>91</v>
      </c>
      <c r="B37" s="3" t="s">
        <v>111</v>
      </c>
      <c r="C37" s="3" t="s">
        <v>112</v>
      </c>
      <c r="D37" s="3" t="s">
        <v>49</v>
      </c>
      <c r="E37" s="3" t="s">
        <v>113</v>
      </c>
      <c r="F37" s="3"/>
      <c r="G37" s="3"/>
      <c r="H37" s="3"/>
      <c r="I37" s="3"/>
      <c r="J37" s="3"/>
      <c r="K37" s="3"/>
      <c r="L37" s="3"/>
      <c r="M37" s="3"/>
      <c r="N37" s="7"/>
    </row>
    <row r="38" spans="1:14">
      <c r="A38" s="6" t="s">
        <v>91</v>
      </c>
      <c r="B38" s="3" t="s">
        <v>114</v>
      </c>
      <c r="C38" s="3" t="s">
        <v>106</v>
      </c>
      <c r="D38" s="3" t="s">
        <v>49</v>
      </c>
      <c r="E38" s="3" t="s">
        <v>115</v>
      </c>
      <c r="F38" s="3"/>
      <c r="G38" s="3"/>
      <c r="H38" s="3"/>
      <c r="I38" s="3"/>
      <c r="J38" s="3"/>
      <c r="K38" s="3"/>
      <c r="L38" s="3"/>
      <c r="M38" s="3"/>
      <c r="N38" s="7"/>
    </row>
    <row r="39" spans="1:14">
      <c r="A39" s="6" t="s">
        <v>91</v>
      </c>
      <c r="B39" s="3" t="s">
        <v>116</v>
      </c>
      <c r="C39" s="3" t="s">
        <v>112</v>
      </c>
      <c r="D39" s="3" t="s">
        <v>49</v>
      </c>
      <c r="E39" s="3" t="s">
        <v>117</v>
      </c>
      <c r="F39" s="3"/>
      <c r="G39" s="3"/>
      <c r="H39" s="3"/>
      <c r="I39" s="3"/>
      <c r="J39" s="3"/>
      <c r="K39" s="3"/>
      <c r="L39" s="3"/>
      <c r="M39" s="3"/>
      <c r="N39" s="7"/>
    </row>
    <row r="40" spans="1:14">
      <c r="A40" s="54" t="s">
        <v>118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>
      <c r="A41" s="62" t="s">
        <v>58</v>
      </c>
      <c r="B41" s="53" t="s">
        <v>59</v>
      </c>
      <c r="C41" s="53" t="s">
        <v>119</v>
      </c>
      <c r="D41" s="53" t="s">
        <v>103</v>
      </c>
      <c r="E41" s="53" t="s">
        <v>87</v>
      </c>
      <c r="F41" s="53" t="s">
        <v>88</v>
      </c>
      <c r="G41" s="53"/>
      <c r="H41" s="53"/>
      <c r="I41" s="53"/>
      <c r="J41" s="53"/>
      <c r="K41" s="53"/>
      <c r="L41" s="53" t="s">
        <v>104</v>
      </c>
      <c r="M41" s="53"/>
      <c r="N41" s="57" t="s">
        <v>89</v>
      </c>
    </row>
    <row r="42" spans="1:14">
      <c r="A42" s="62"/>
      <c r="B42" s="53"/>
      <c r="C42" s="53"/>
      <c r="D42" s="53"/>
      <c r="E42" s="53"/>
      <c r="F42" s="13" t="s">
        <v>59</v>
      </c>
      <c r="G42" s="13" t="s">
        <v>60</v>
      </c>
      <c r="H42" s="13" t="s">
        <v>65</v>
      </c>
      <c r="I42" s="13" t="s">
        <v>90</v>
      </c>
      <c r="J42" s="13" t="s">
        <v>61</v>
      </c>
      <c r="K42" s="13" t="s">
        <v>87</v>
      </c>
      <c r="L42" s="13" t="s">
        <v>60</v>
      </c>
      <c r="M42" s="13" t="s">
        <v>65</v>
      </c>
      <c r="N42" s="57"/>
    </row>
    <row r="43" spans="1:14">
      <c r="A43" s="6" t="s">
        <v>91</v>
      </c>
      <c r="B43" s="3" t="s">
        <v>120</v>
      </c>
      <c r="C43" s="3" t="s">
        <v>69</v>
      </c>
      <c r="D43" s="3" t="s">
        <v>49</v>
      </c>
      <c r="E43" s="3" t="s">
        <v>121</v>
      </c>
      <c r="F43" s="3"/>
      <c r="G43" s="3"/>
      <c r="H43" s="3"/>
      <c r="I43" s="3"/>
      <c r="J43" s="3"/>
      <c r="K43" s="3"/>
      <c r="L43" s="3" t="s">
        <v>68</v>
      </c>
      <c r="M43" s="3"/>
      <c r="N43" s="7"/>
    </row>
    <row r="44" spans="1:14">
      <c r="A44" s="14" t="s">
        <v>91</v>
      </c>
      <c r="B44" s="15" t="s">
        <v>122</v>
      </c>
      <c r="C44" s="15" t="s">
        <v>69</v>
      </c>
      <c r="D44" s="15" t="s">
        <v>49</v>
      </c>
      <c r="E44" s="15" t="s">
        <v>123</v>
      </c>
      <c r="F44" s="15" t="s">
        <v>124</v>
      </c>
      <c r="G44" s="15" t="s">
        <v>72</v>
      </c>
      <c r="H44" s="15"/>
      <c r="I44" s="15" t="s">
        <v>94</v>
      </c>
      <c r="J44" s="15" t="s">
        <v>49</v>
      </c>
      <c r="K44" s="15" t="s">
        <v>125</v>
      </c>
      <c r="L44" s="15" t="s">
        <v>72</v>
      </c>
      <c r="M44" s="15"/>
      <c r="N44" s="8"/>
    </row>
    <row r="45" spans="1:14">
      <c r="A45" s="14" t="s">
        <v>91</v>
      </c>
      <c r="B45" s="15" t="s">
        <v>126</v>
      </c>
      <c r="C45" s="15" t="s">
        <v>69</v>
      </c>
      <c r="D45" s="15" t="s">
        <v>49</v>
      </c>
      <c r="E45" s="15" t="s">
        <v>127</v>
      </c>
      <c r="F45" s="15" t="s">
        <v>124</v>
      </c>
      <c r="G45" s="15" t="s">
        <v>72</v>
      </c>
      <c r="H45" s="15"/>
      <c r="I45" s="15" t="s">
        <v>94</v>
      </c>
      <c r="J45" s="15" t="s">
        <v>49</v>
      </c>
      <c r="K45" s="15" t="s">
        <v>125</v>
      </c>
      <c r="L45" s="15" t="s">
        <v>75</v>
      </c>
      <c r="M45" s="15"/>
      <c r="N45" s="8"/>
    </row>
    <row r="46" spans="1:14">
      <c r="A46" s="14" t="s">
        <v>91</v>
      </c>
      <c r="B46" s="15" t="s">
        <v>128</v>
      </c>
      <c r="C46" s="15" t="s">
        <v>69</v>
      </c>
      <c r="D46" s="15" t="s">
        <v>49</v>
      </c>
      <c r="E46" s="15" t="s">
        <v>129</v>
      </c>
      <c r="F46" s="15" t="s">
        <v>124</v>
      </c>
      <c r="G46" s="15" t="s">
        <v>72</v>
      </c>
      <c r="H46" s="15"/>
      <c r="I46" s="15" t="s">
        <v>94</v>
      </c>
      <c r="J46" s="15" t="s">
        <v>49</v>
      </c>
      <c r="K46" s="15" t="s">
        <v>125</v>
      </c>
      <c r="L46" s="15" t="s">
        <v>75</v>
      </c>
      <c r="M46" s="15"/>
      <c r="N46" s="8"/>
    </row>
    <row r="47" spans="1:14">
      <c r="A47" s="14" t="s">
        <v>91</v>
      </c>
      <c r="B47" s="15" t="s">
        <v>130</v>
      </c>
      <c r="C47" s="15" t="s">
        <v>69</v>
      </c>
      <c r="D47" s="15" t="s">
        <v>49</v>
      </c>
      <c r="E47" s="15" t="s">
        <v>131</v>
      </c>
      <c r="F47" s="15" t="s">
        <v>124</v>
      </c>
      <c r="G47" s="15" t="s">
        <v>72</v>
      </c>
      <c r="H47" s="15"/>
      <c r="I47" s="15" t="s">
        <v>94</v>
      </c>
      <c r="J47" s="15" t="s">
        <v>49</v>
      </c>
      <c r="K47" s="15" t="s">
        <v>132</v>
      </c>
      <c r="L47" s="15" t="s">
        <v>75</v>
      </c>
      <c r="M47" s="15"/>
      <c r="N47" s="8"/>
    </row>
  </sheetData>
  <mergeCells count="72">
    <mergeCell ref="J21:N21"/>
    <mergeCell ref="J23:N23"/>
    <mergeCell ref="J24:N24"/>
    <mergeCell ref="M28:N28"/>
    <mergeCell ref="M29:N29"/>
    <mergeCell ref="M26:N27"/>
    <mergeCell ref="J27:L27"/>
    <mergeCell ref="E26:L26"/>
    <mergeCell ref="A25:N25"/>
    <mergeCell ref="A26:A27"/>
    <mergeCell ref="B26:B27"/>
    <mergeCell ref="C26:C27"/>
    <mergeCell ref="D26:D27"/>
    <mergeCell ref="B28:B31"/>
    <mergeCell ref="C28:C29"/>
    <mergeCell ref="C30:C31"/>
    <mergeCell ref="A17:A18"/>
    <mergeCell ref="C17:D17"/>
    <mergeCell ref="F17:F18"/>
    <mergeCell ref="E17:E18"/>
    <mergeCell ref="A1:E1"/>
    <mergeCell ref="B13:D13"/>
    <mergeCell ref="B14:D14"/>
    <mergeCell ref="B15:D15"/>
    <mergeCell ref="A7:E7"/>
    <mergeCell ref="B2:E2"/>
    <mergeCell ref="B3:E3"/>
    <mergeCell ref="B4:E4"/>
    <mergeCell ref="B5:E5"/>
    <mergeCell ref="B6:E6"/>
    <mergeCell ref="J20:N20"/>
    <mergeCell ref="J22:N22"/>
    <mergeCell ref="A16:N16"/>
    <mergeCell ref="B8:D8"/>
    <mergeCell ref="B9:D9"/>
    <mergeCell ref="B11:D11"/>
    <mergeCell ref="G17:I18"/>
    <mergeCell ref="G19:I19"/>
    <mergeCell ref="G20:I20"/>
    <mergeCell ref="G21:I21"/>
    <mergeCell ref="G22:I22"/>
    <mergeCell ref="J17:N18"/>
    <mergeCell ref="J19:N19"/>
    <mergeCell ref="B17:B18"/>
    <mergeCell ref="B10:D10"/>
    <mergeCell ref="B12:D12"/>
    <mergeCell ref="F41:K41"/>
    <mergeCell ref="L41:M41"/>
    <mergeCell ref="A40:N40"/>
    <mergeCell ref="N41:N42"/>
    <mergeCell ref="A32:N32"/>
    <mergeCell ref="F33:K33"/>
    <mergeCell ref="L33:M33"/>
    <mergeCell ref="N33:N34"/>
    <mergeCell ref="A41:A42"/>
    <mergeCell ref="B41:B42"/>
    <mergeCell ref="C41:C42"/>
    <mergeCell ref="E41:E42"/>
    <mergeCell ref="D33:D34"/>
    <mergeCell ref="D41:D42"/>
    <mergeCell ref="A33:A34"/>
    <mergeCell ref="B33:B34"/>
    <mergeCell ref="D28:D29"/>
    <mergeCell ref="D30:D31"/>
    <mergeCell ref="M30:N30"/>
    <mergeCell ref="M31:N31"/>
    <mergeCell ref="C33:C34"/>
    <mergeCell ref="E33:E34"/>
    <mergeCell ref="J28:L28"/>
    <mergeCell ref="J29:L29"/>
    <mergeCell ref="J30:L30"/>
    <mergeCell ref="J31:L31"/>
  </mergeCells>
  <hyperlinks>
    <hyperlink ref="A1:E1" location="Clases!A1" display="&lt;-Volver al inicio" xr:uid="{845DD4A4-356D-496B-892B-AFFC00460198}"/>
    <hyperlink ref="E9" location="'Categoria'!B2" display="=Categoria!B2" xr:uid="{0CDBBBB9-2B6D-4AF0-A373-213003876454}"/>
    <hyperlink ref="E11" location="'DetalleVenta'!B2" display="=Usuario!B2" xr:uid="{01A382AE-E8DE-4B4A-9A1B-A137B9729064}"/>
    <hyperlink ref="E10" location="'UnidadMedida'!B2" display="=Categoria!B2" xr:uid="{04EDD072-8A2A-4233-9B72-D4AE290B11C2}"/>
    <hyperlink ref="E15" location="'DetalleAbastecimiento'!B2" display="DetalleAbastecimiento" xr:uid="{3DFF7624-ABDE-421D-B06B-B41A3D8A4B71}"/>
    <hyperlink ref="E13" location="'Insumo'!B2" display="Insumo" xr:uid="{91CC4D65-E705-42EB-A9DD-9C19BB415168}"/>
    <hyperlink ref="E14" location="'StockSede'!B2" display="StockSede" xr:uid="{BC2E60EC-A708-42BE-B8E9-48663B731974}"/>
    <hyperlink ref="E12" location="'Venta'!B2" display="Venta" xr:uid="{0956CE2F-72F8-4B81-AFB5-97FB34464EC7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EDF726CA-DD38-4010-AE0D-8C294E5F7EE9}">
          <x14:formula1>
            <xm:f>Valores!$B$2:$B$3</xm:f>
          </x14:formula1>
          <xm:sqref>A9:A15</xm:sqref>
        </x14:dataValidation>
        <x14:dataValidation type="list" allowBlank="1" showInputMessage="1" showErrorMessage="1" xr:uid="{6D0F9348-FEC5-4CB4-86A4-E976B738665B}">
          <x14:formula1>
            <xm:f>Valores!$C$2:$C$7</xm:f>
          </x14:formula1>
          <xm:sqref>B9:B15</xm:sqref>
        </x14:dataValidation>
        <x14:dataValidation type="list" allowBlank="1" showInputMessage="1" showErrorMessage="1" xr:uid="{8F203B61-D0E6-4D7C-8E3D-FF0FFBC05B2D}">
          <x14:formula1>
            <xm:f>Valores!$D$2:$D$3</xm:f>
          </x14:formula1>
          <xm:sqref>B5</xm:sqref>
        </x14:dataValidation>
        <x14:dataValidation type="list" allowBlank="1" showInputMessage="1" showErrorMessage="1" xr:uid="{C4A80B7B-2169-487C-8711-F4401479B649}">
          <x14:formula1>
            <xm:f>Valores!$E$2:$E$3</xm:f>
          </x14:formula1>
          <xm:sqref>B6 E19:E24 D43:D47 J35:J39 J43:J47 I28:I31 D35:D39</xm:sqref>
        </x14:dataValidation>
        <x14:dataValidation type="list" allowBlank="1" showInputMessage="1" showErrorMessage="1" xr:uid="{7E049A01-40B1-45B3-ADF8-FBB8301DC09B}">
          <x14:formula1>
            <xm:f>Clases!$A$2:$A$13</xm:f>
          </x14:formula1>
          <xm:sqref>E9:E12</xm:sqref>
        </x14:dataValidation>
        <x14:dataValidation type="list" allowBlank="1" showInputMessage="1" showErrorMessage="1" xr:uid="{D94E22D1-098B-4A5C-BF4C-10DE4C39F180}">
          <x14:formula1>
            <xm:f>Valores!$F$2:$F$5</xm:f>
          </x14:formula1>
          <xm:sqref>A19:A24 A28:A31 A35:A39 A43:A47</xm:sqref>
        </x14:dataValidation>
        <x14:dataValidation type="list" allowBlank="1" showInputMessage="1" showErrorMessage="1" xr:uid="{3F28C373-10AB-4106-B832-594F931B77C0}">
          <x14:formula1>
            <xm:f>Valores!$G$2:$G$12</xm:f>
          </x14:formula1>
          <xm:sqref>C19:C24 F28:F31 G35:G39 L35:L39 G43:G47 L44:L47</xm:sqref>
        </x14:dataValidation>
        <x14:dataValidation type="list" allowBlank="1" showInputMessage="1" showErrorMessage="1" xr:uid="{75AF4D92-30D8-4E3D-8F07-9ACEBD78B36D}">
          <x14:formula1>
            <xm:f>Valores!$H$2:$H$3</xm:f>
          </x14:formula1>
          <xm:sqref>F19:F24 C43:C47</xm:sqref>
        </x14:dataValidation>
        <x14:dataValidation type="list" allowBlank="1" showInputMessage="1" showErrorMessage="1" xr:uid="{0A88B217-8E9B-46DC-9CC4-98ACC701A856}">
          <x14:formula1>
            <xm:f>Valores!$I$2:$I$3</xm:f>
          </x14:formula1>
          <xm:sqref>C28 C30</xm:sqref>
        </x14:dataValidation>
        <x14:dataValidation type="list" allowBlank="1" showInputMessage="1" showErrorMessage="1" xr:uid="{BDEC211F-0F86-4A2E-B2EC-E4E04A1387D6}">
          <x14:formula1>
            <xm:f>Valores!$J$2:$J$3</xm:f>
          </x14:formula1>
          <xm:sqref>H28:H31 I35:I39 I43:I47</xm:sqref>
        </x14:dataValidation>
        <x14:dataValidation type="list" allowBlank="1" showInputMessage="1" showErrorMessage="1" xr:uid="{0E8CE3D3-B658-4A18-BF44-57D368D934DC}">
          <x14:formula1>
            <xm:f>Valores!$K$2:$K$3</xm:f>
          </x14:formula1>
          <xm:sqref>C35:C39</xm:sqref>
        </x14:dataValidation>
        <x14:dataValidation type="list" allowBlank="1" showInputMessage="1" showErrorMessage="1" xr:uid="{42E81C08-A32A-4085-8C33-1003DF58E83C}">
          <x14:formula1>
            <xm:f>Valores!$L$2:$L$13</xm:f>
          </x14:formula1>
          <xm:sqref>L43</xm:sqref>
        </x14:dataValidation>
        <x14:dataValidation type="list" allowBlank="1" showInputMessage="1" showErrorMessage="1" xr:uid="{EC0C039F-0733-4A48-8321-E529D0F3BCD3}">
          <x14:formula1>
            <xm:f>Clases!$A$2:$A$21</xm:f>
          </x14:formula1>
          <xm:sqref>E13:E15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B1CB-9770-4E6F-987F-167872D8F217}">
  <dimension ref="A1:N30"/>
  <sheetViews>
    <sheetView zoomScale="55" zoomScaleNormal="55" workbookViewId="0">
      <pane ySplit="1" topLeftCell="B7" activePane="bottomLeft" state="frozen"/>
      <selection pane="bottomLeft" activeCell="D34" sqref="D34"/>
    </sheetView>
  </sheetViews>
  <sheetFormatPr defaultColWidth="19.7109375" defaultRowHeight="15"/>
  <cols>
    <col min="1" max="1" width="28.7109375" style="1" customWidth="1"/>
    <col min="2" max="2" width="27.140625" style="1" customWidth="1"/>
    <col min="3" max="3" width="27.140625" style="1" bestFit="1" customWidth="1"/>
    <col min="4" max="4" width="77.7109375" style="1" customWidth="1"/>
    <col min="5" max="5" width="87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9.710937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Clases!A3</f>
        <v>Categoria</v>
      </c>
      <c r="C2" s="77"/>
      <c r="D2" s="77"/>
      <c r="E2" s="78"/>
    </row>
    <row r="3" spans="1:14">
      <c r="A3" s="17" t="str">
        <f>Clases!$B$1</f>
        <v>Estereotipo</v>
      </c>
      <c r="B3" s="64" t="str">
        <f>Clases!A4</f>
        <v>UnidadMedida</v>
      </c>
      <c r="C3" s="64"/>
      <c r="D3" s="64"/>
      <c r="E3" s="65"/>
    </row>
    <row r="4" spans="1:14">
      <c r="A4" s="17" t="str">
        <f>Clases!$C$1</f>
        <v>Desripción</v>
      </c>
      <c r="B4" s="64" t="str">
        <f>Clases!C3</f>
        <v>Clase que representa la categoría a la que pertenecen los productos del sistema, permitiendo su clasificación y organización.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 ht="15.75" thickBot="1">
      <c r="A9" s="6" t="s">
        <v>56</v>
      </c>
      <c r="B9" s="64" t="s">
        <v>55</v>
      </c>
      <c r="C9" s="64"/>
      <c r="D9" s="64"/>
      <c r="E9" s="18" t="str">
        <f>Producto!B2</f>
        <v>Producto</v>
      </c>
    </row>
    <row r="10" spans="1:14">
      <c r="A10" s="66" t="s">
        <v>57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1:14">
      <c r="A11" s="73" t="s">
        <v>58</v>
      </c>
      <c r="B11" s="71" t="s">
        <v>59</v>
      </c>
      <c r="C11" s="71" t="s">
        <v>60</v>
      </c>
      <c r="D11" s="71"/>
      <c r="E11" s="71" t="s">
        <v>61</v>
      </c>
      <c r="F11" s="71" t="s">
        <v>62</v>
      </c>
      <c r="G11" s="71" t="s">
        <v>63</v>
      </c>
      <c r="H11" s="71"/>
      <c r="I11" s="71"/>
      <c r="J11" s="71" t="s">
        <v>64</v>
      </c>
      <c r="K11" s="71"/>
      <c r="L11" s="71"/>
      <c r="M11" s="71"/>
      <c r="N11" s="72"/>
    </row>
    <row r="12" spans="1:14">
      <c r="A12" s="73"/>
      <c r="B12" s="71"/>
      <c r="C12" s="10" t="s">
        <v>60</v>
      </c>
      <c r="D12" s="10" t="s">
        <v>65</v>
      </c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4">
      <c r="A13" s="6" t="s">
        <v>66</v>
      </c>
      <c r="B13" s="3" t="s">
        <v>133</v>
      </c>
      <c r="C13" s="3" t="s">
        <v>68</v>
      </c>
      <c r="D13" s="3"/>
      <c r="E13" s="3" t="s">
        <v>49</v>
      </c>
      <c r="F13" s="3" t="s">
        <v>69</v>
      </c>
      <c r="G13" s="64"/>
      <c r="H13" s="64"/>
      <c r="I13" s="64"/>
      <c r="J13" s="64" t="s">
        <v>134</v>
      </c>
      <c r="K13" s="64"/>
      <c r="L13" s="64"/>
      <c r="M13" s="64"/>
      <c r="N13" s="65"/>
    </row>
    <row r="14" spans="1:14">
      <c r="A14" s="6" t="s">
        <v>66</v>
      </c>
      <c r="B14" s="3" t="s">
        <v>71</v>
      </c>
      <c r="C14" s="3" t="s">
        <v>72</v>
      </c>
      <c r="D14" s="3"/>
      <c r="E14" s="3" t="s">
        <v>49</v>
      </c>
      <c r="F14" s="3" t="s">
        <v>69</v>
      </c>
      <c r="G14" s="64"/>
      <c r="H14" s="64"/>
      <c r="I14" s="64"/>
      <c r="J14" s="64" t="s">
        <v>135</v>
      </c>
      <c r="K14" s="64"/>
      <c r="L14" s="64"/>
      <c r="M14" s="64"/>
      <c r="N14" s="65"/>
    </row>
    <row r="15" spans="1:14">
      <c r="A15" s="81" t="s">
        <v>85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3"/>
    </row>
    <row r="16" spans="1:14">
      <c r="A16" s="84" t="s">
        <v>58</v>
      </c>
      <c r="B16" s="79" t="s">
        <v>59</v>
      </c>
      <c r="C16" s="79" t="s">
        <v>86</v>
      </c>
      <c r="D16" s="79" t="s">
        <v>87</v>
      </c>
      <c r="E16" s="79" t="s">
        <v>88</v>
      </c>
      <c r="F16" s="79"/>
      <c r="G16" s="79"/>
      <c r="H16" s="79"/>
      <c r="I16" s="79"/>
      <c r="J16" s="79"/>
      <c r="K16" s="79"/>
      <c r="L16" s="79"/>
      <c r="M16" s="79" t="s">
        <v>89</v>
      </c>
      <c r="N16" s="80"/>
    </row>
    <row r="17" spans="1:14">
      <c r="A17" s="84"/>
      <c r="B17" s="79"/>
      <c r="C17" s="79"/>
      <c r="D17" s="79"/>
      <c r="E17" s="11" t="s">
        <v>59</v>
      </c>
      <c r="F17" s="11" t="s">
        <v>60</v>
      </c>
      <c r="G17" s="11" t="s">
        <v>65</v>
      </c>
      <c r="H17" s="11" t="s">
        <v>90</v>
      </c>
      <c r="I17" s="11" t="s">
        <v>61</v>
      </c>
      <c r="J17" s="79" t="s">
        <v>87</v>
      </c>
      <c r="K17" s="79"/>
      <c r="L17" s="79"/>
      <c r="M17" s="79"/>
      <c r="N17" s="80"/>
    </row>
    <row r="18" spans="1:14">
      <c r="A18" s="6" t="s">
        <v>91</v>
      </c>
      <c r="B18" s="3" t="str">
        <f>B2</f>
        <v>Categoria</v>
      </c>
      <c r="C18" s="3" t="s">
        <v>92</v>
      </c>
      <c r="D18" s="3" t="s">
        <v>136</v>
      </c>
      <c r="E18" s="3" t="s">
        <v>133</v>
      </c>
      <c r="F18" s="3" t="s">
        <v>68</v>
      </c>
      <c r="G18" s="3"/>
      <c r="H18" s="3" t="s">
        <v>94</v>
      </c>
      <c r="I18" s="3" t="s">
        <v>49</v>
      </c>
      <c r="J18" s="45" t="s">
        <v>137</v>
      </c>
      <c r="K18" s="48"/>
      <c r="L18" s="49"/>
      <c r="M18" s="45"/>
      <c r="N18" s="46"/>
    </row>
    <row r="19" spans="1:14">
      <c r="A19" s="6" t="s">
        <v>91</v>
      </c>
      <c r="B19" s="3" t="str">
        <f>B2</f>
        <v>Categoria</v>
      </c>
      <c r="C19" s="3" t="s">
        <v>97</v>
      </c>
      <c r="D19" s="3" t="s">
        <v>138</v>
      </c>
      <c r="E19" s="3" t="s">
        <v>71</v>
      </c>
      <c r="F19" s="3" t="s">
        <v>72</v>
      </c>
      <c r="G19" s="3"/>
      <c r="H19" s="3" t="s">
        <v>94</v>
      </c>
      <c r="I19" s="3" t="s">
        <v>49</v>
      </c>
      <c r="J19" s="45" t="s">
        <v>139</v>
      </c>
      <c r="K19" s="48"/>
      <c r="L19" s="49"/>
      <c r="M19" s="45"/>
      <c r="N19" s="46"/>
    </row>
    <row r="20" spans="1:14">
      <c r="A20" s="58" t="s">
        <v>101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1:14">
      <c r="A21" s="63" t="s">
        <v>58</v>
      </c>
      <c r="B21" s="47" t="s">
        <v>59</v>
      </c>
      <c r="C21" s="47" t="s">
        <v>102</v>
      </c>
      <c r="D21" s="47" t="s">
        <v>103</v>
      </c>
      <c r="E21" s="47" t="s">
        <v>87</v>
      </c>
      <c r="F21" s="47" t="s">
        <v>88</v>
      </c>
      <c r="G21" s="47"/>
      <c r="H21" s="47"/>
      <c r="I21" s="47"/>
      <c r="J21" s="47"/>
      <c r="K21" s="47"/>
      <c r="L21" s="47" t="s">
        <v>104</v>
      </c>
      <c r="M21" s="47"/>
      <c r="N21" s="61" t="s">
        <v>89</v>
      </c>
    </row>
    <row r="22" spans="1:14">
      <c r="A22" s="63"/>
      <c r="B22" s="47"/>
      <c r="C22" s="47"/>
      <c r="D22" s="47"/>
      <c r="E22" s="47"/>
      <c r="F22" s="12" t="s">
        <v>59</v>
      </c>
      <c r="G22" s="12" t="s">
        <v>60</v>
      </c>
      <c r="H22" s="12" t="s">
        <v>65</v>
      </c>
      <c r="I22" s="12" t="s">
        <v>90</v>
      </c>
      <c r="J22" s="12" t="s">
        <v>61</v>
      </c>
      <c r="K22" s="12" t="s">
        <v>87</v>
      </c>
      <c r="L22" s="12" t="s">
        <v>60</v>
      </c>
      <c r="M22" s="12" t="s">
        <v>65</v>
      </c>
      <c r="N22" s="61"/>
    </row>
    <row r="23" spans="1:14">
      <c r="A23" s="6" t="s">
        <v>91</v>
      </c>
      <c r="B23" s="3" t="s">
        <v>140</v>
      </c>
      <c r="C23" s="3" t="s">
        <v>106</v>
      </c>
      <c r="D23" s="3" t="s">
        <v>49</v>
      </c>
      <c r="E23" s="3" t="s">
        <v>141</v>
      </c>
      <c r="F23" s="3" t="s">
        <v>133</v>
      </c>
      <c r="G23" s="3" t="s">
        <v>68</v>
      </c>
      <c r="H23" s="3"/>
      <c r="I23" s="3" t="s">
        <v>94</v>
      </c>
      <c r="J23" s="3" t="s">
        <v>49</v>
      </c>
      <c r="K23" s="3" t="s">
        <v>137</v>
      </c>
      <c r="L23" s="3" t="s">
        <v>68</v>
      </c>
      <c r="M23" s="3"/>
      <c r="N23" s="7"/>
    </row>
    <row r="24" spans="1:14">
      <c r="A24" s="6" t="s">
        <v>91</v>
      </c>
      <c r="B24" s="3" t="s">
        <v>108</v>
      </c>
      <c r="C24" s="3" t="s">
        <v>106</v>
      </c>
      <c r="D24" s="3" t="s">
        <v>49</v>
      </c>
      <c r="E24" s="3" t="s">
        <v>142</v>
      </c>
      <c r="F24" s="3" t="s">
        <v>71</v>
      </c>
      <c r="G24" s="3" t="s">
        <v>72</v>
      </c>
      <c r="H24" s="3"/>
      <c r="I24" s="3" t="s">
        <v>94</v>
      </c>
      <c r="J24" s="3" t="s">
        <v>49</v>
      </c>
      <c r="K24" s="3" t="s">
        <v>139</v>
      </c>
      <c r="L24" s="3" t="s">
        <v>72</v>
      </c>
      <c r="M24" s="3"/>
      <c r="N24" s="7"/>
    </row>
    <row r="25" spans="1:14">
      <c r="A25" s="6" t="s">
        <v>91</v>
      </c>
      <c r="B25" s="3" t="s">
        <v>111</v>
      </c>
      <c r="C25" s="3" t="s">
        <v>112</v>
      </c>
      <c r="D25" s="3" t="s">
        <v>49</v>
      </c>
      <c r="E25" s="3" t="s">
        <v>143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54" t="s">
        <v>118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6"/>
    </row>
    <row r="27" spans="1:14">
      <c r="A27" s="62" t="s">
        <v>58</v>
      </c>
      <c r="B27" s="53" t="s">
        <v>59</v>
      </c>
      <c r="C27" s="53" t="s">
        <v>119</v>
      </c>
      <c r="D27" s="53" t="s">
        <v>103</v>
      </c>
      <c r="E27" s="53" t="s">
        <v>87</v>
      </c>
      <c r="F27" s="53" t="s">
        <v>88</v>
      </c>
      <c r="G27" s="53"/>
      <c r="H27" s="53"/>
      <c r="I27" s="53"/>
      <c r="J27" s="53"/>
      <c r="K27" s="53"/>
      <c r="L27" s="53" t="s">
        <v>104</v>
      </c>
      <c r="M27" s="53"/>
      <c r="N27" s="57" t="s">
        <v>89</v>
      </c>
    </row>
    <row r="28" spans="1:14">
      <c r="A28" s="62"/>
      <c r="B28" s="53"/>
      <c r="C28" s="53"/>
      <c r="D28" s="53"/>
      <c r="E28" s="53"/>
      <c r="F28" s="13" t="s">
        <v>59</v>
      </c>
      <c r="G28" s="13" t="s">
        <v>60</v>
      </c>
      <c r="H28" s="13" t="s">
        <v>65</v>
      </c>
      <c r="I28" s="13" t="s">
        <v>90</v>
      </c>
      <c r="J28" s="13" t="s">
        <v>61</v>
      </c>
      <c r="K28" s="13" t="s">
        <v>87</v>
      </c>
      <c r="L28" s="13" t="s">
        <v>60</v>
      </c>
      <c r="M28" s="13" t="s">
        <v>65</v>
      </c>
      <c r="N28" s="57"/>
    </row>
    <row r="29" spans="1:14">
      <c r="A29" s="6" t="s">
        <v>91</v>
      </c>
      <c r="B29" s="3" t="s">
        <v>122</v>
      </c>
      <c r="C29" s="3" t="s">
        <v>69</v>
      </c>
      <c r="D29" s="3" t="s">
        <v>49</v>
      </c>
      <c r="E29" s="3" t="s">
        <v>144</v>
      </c>
      <c r="F29" s="3"/>
      <c r="G29" s="3"/>
      <c r="H29" s="3"/>
      <c r="I29" s="3"/>
      <c r="J29" s="3"/>
      <c r="K29" s="3"/>
      <c r="L29" s="3"/>
      <c r="M29" s="3"/>
      <c r="N29" s="7"/>
    </row>
    <row r="30" spans="1:14" ht="15.75" thickBot="1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8"/>
    </row>
  </sheetData>
  <mergeCells count="51">
    <mergeCell ref="A26:N26"/>
    <mergeCell ref="A27:A28"/>
    <mergeCell ref="B27:B28"/>
    <mergeCell ref="C27:C28"/>
    <mergeCell ref="D27:D28"/>
    <mergeCell ref="E27:E28"/>
    <mergeCell ref="F27:K27"/>
    <mergeCell ref="L27:M27"/>
    <mergeCell ref="N27:N28"/>
    <mergeCell ref="E21:E22"/>
    <mergeCell ref="J18:L18"/>
    <mergeCell ref="M18:N18"/>
    <mergeCell ref="J19:L19"/>
    <mergeCell ref="M19:N19"/>
    <mergeCell ref="A20:N20"/>
    <mergeCell ref="F21:K21"/>
    <mergeCell ref="L21:M21"/>
    <mergeCell ref="N21:N22"/>
    <mergeCell ref="A21:A22"/>
    <mergeCell ref="B21:B22"/>
    <mergeCell ref="C21:C22"/>
    <mergeCell ref="D21:D22"/>
    <mergeCell ref="G13:I13"/>
    <mergeCell ref="J13:N13"/>
    <mergeCell ref="G14:I14"/>
    <mergeCell ref="J14:N14"/>
    <mergeCell ref="A16:A17"/>
    <mergeCell ref="B16:B17"/>
    <mergeCell ref="C16:C17"/>
    <mergeCell ref="D16:D17"/>
    <mergeCell ref="E16:L16"/>
    <mergeCell ref="A15:N15"/>
    <mergeCell ref="M16:N17"/>
    <mergeCell ref="J17:L17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B6:E6"/>
    <mergeCell ref="A1:E1"/>
    <mergeCell ref="B2:E2"/>
    <mergeCell ref="B3:E3"/>
    <mergeCell ref="B4:E4"/>
    <mergeCell ref="B5:E5"/>
  </mergeCells>
  <hyperlinks>
    <hyperlink ref="A1:E1" location="Clases!A1" display="&lt;-Volver al inicio" xr:uid="{36187354-540C-4E83-BCC3-01E65CE9742D}"/>
    <hyperlink ref="E9" location="ClaseUno!A1" display="ClaseUno!A1" xr:uid="{C1659A5A-86BF-4106-AB78-BFA0557347EF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B2DE8087-271A-4E00-A0D6-9B8ABC47418B}">
          <x14:formula1>
            <xm:f>Valores!$L$2:$L$13</xm:f>
          </x14:formula1>
          <xm:sqref>L29</xm:sqref>
        </x14:dataValidation>
        <x14:dataValidation type="list" allowBlank="1" showInputMessage="1" showErrorMessage="1" xr:uid="{2FA4DABB-C601-4767-B996-79F0346E8914}">
          <x14:formula1>
            <xm:f>Valores!$K$2:$K$3</xm:f>
          </x14:formula1>
          <xm:sqref>C23:C25</xm:sqref>
        </x14:dataValidation>
        <x14:dataValidation type="list" allowBlank="1" showInputMessage="1" showErrorMessage="1" xr:uid="{22FB162E-988B-4274-B8BB-A98918A13A50}">
          <x14:formula1>
            <xm:f>Valores!$J$2:$J$3</xm:f>
          </x14:formula1>
          <xm:sqref>H18:H19 I23:I25 I29:I30</xm:sqref>
        </x14:dataValidation>
        <x14:dataValidation type="list" allowBlank="1" showInputMessage="1" showErrorMessage="1" xr:uid="{5060AF69-52E0-4D78-998F-77BF27BF4023}">
          <x14:formula1>
            <xm:f>Valores!$I$2:$I$3</xm:f>
          </x14:formula1>
          <xm:sqref>C18:C19</xm:sqref>
        </x14:dataValidation>
        <x14:dataValidation type="list" allowBlank="1" showInputMessage="1" showErrorMessage="1" xr:uid="{7CB040E0-F474-4BF0-981F-FAAC55C6295F}">
          <x14:formula1>
            <xm:f>Valores!$H$2:$H$3</xm:f>
          </x14:formula1>
          <xm:sqref>F13:F14 C29:C30</xm:sqref>
        </x14:dataValidation>
        <x14:dataValidation type="list" allowBlank="1" showInputMessage="1" showErrorMessage="1" xr:uid="{5142D9D6-8EE0-4243-B3F0-909644694DC1}">
          <x14:formula1>
            <xm:f>Valores!$G$2:$G$12</xm:f>
          </x14:formula1>
          <xm:sqref>C13:C14 F18:F19 G23:G25 L23:L25 G29:G30 L30</xm:sqref>
        </x14:dataValidation>
        <x14:dataValidation type="list" allowBlank="1" showInputMessage="1" showErrorMessage="1" xr:uid="{70595CA2-0D55-4C10-BF45-B24BDCA20A2F}">
          <x14:formula1>
            <xm:f>Valores!$F$2:$F$5</xm:f>
          </x14:formula1>
          <xm:sqref>A13:A14 A18:A19 A23:A25 A29:A30</xm:sqref>
        </x14:dataValidation>
        <x14:dataValidation type="list" allowBlank="1" showInputMessage="1" showErrorMessage="1" xr:uid="{20FE0D7D-F59D-4D06-A375-1E3166EABAD2}">
          <x14:formula1>
            <xm:f>Clases!$A$2:$A$13</xm:f>
          </x14:formula1>
          <xm:sqref>E9</xm:sqref>
        </x14:dataValidation>
        <x14:dataValidation type="list" allowBlank="1" showInputMessage="1" showErrorMessage="1" xr:uid="{6054C0B9-A628-4E5C-A092-3C90F9145DB3}">
          <x14:formula1>
            <xm:f>Valores!$E$2:$E$3</xm:f>
          </x14:formula1>
          <xm:sqref>B6 E13:E14 I18:I19 J23:J25 J29:J30 D23:D25 D29:D30</xm:sqref>
        </x14:dataValidation>
        <x14:dataValidation type="list" allowBlank="1" showInputMessage="1" showErrorMessage="1" xr:uid="{E60B8541-25D3-46B7-862C-8C6D45DE8FB8}">
          <x14:formula1>
            <xm:f>Valores!$D$2:$D$3</xm:f>
          </x14:formula1>
          <xm:sqref>B5</xm:sqref>
        </x14:dataValidation>
        <x14:dataValidation type="list" allowBlank="1" showInputMessage="1" showErrorMessage="1" xr:uid="{84B916DF-1F24-4AA2-AF71-38D0C13A04E9}">
          <x14:formula1>
            <xm:f>Valores!$C$2:$C$7</xm:f>
          </x14:formula1>
          <xm:sqref>B9</xm:sqref>
        </x14:dataValidation>
        <x14:dataValidation type="list" allowBlank="1" showInputMessage="1" showErrorMessage="1" xr:uid="{F0106677-0F49-4963-9D48-1D193F6F27A4}">
          <x14:formula1>
            <xm:f>Valores!$B$2:$B$3</xm:f>
          </x14:formula1>
          <xm:sqref>A9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B88E4-2B3B-42A4-B82B-C371D0E4A34D}">
  <dimension ref="A1:N30"/>
  <sheetViews>
    <sheetView zoomScale="55" zoomScaleNormal="55" workbookViewId="0">
      <pane ySplit="1" topLeftCell="B2" activePane="bottomLeft" state="frozen"/>
      <selection pane="bottomLeft" activeCell="D24" sqref="D24"/>
    </sheetView>
  </sheetViews>
  <sheetFormatPr defaultColWidth="19.7109375" defaultRowHeight="15"/>
  <cols>
    <col min="1" max="1" width="28.7109375" style="1" customWidth="1"/>
    <col min="2" max="2" width="27.140625" style="1" customWidth="1"/>
    <col min="3" max="3" width="27.140625" style="1" bestFit="1" customWidth="1"/>
    <col min="4" max="4" width="77.7109375" style="1" customWidth="1"/>
    <col min="5" max="5" width="87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9.710937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Clases!A4</f>
        <v>UnidadMedida</v>
      </c>
      <c r="C2" s="77"/>
      <c r="D2" s="77"/>
      <c r="E2" s="78"/>
    </row>
    <row r="3" spans="1:14">
      <c r="A3" s="17" t="str">
        <f>Clases!$B$1</f>
        <v>Estereotipo</v>
      </c>
      <c r="B3" s="64" t="str">
        <f>Clases!B4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Clases!C4</f>
        <v xml:space="preserve"> Clase que representa la unidad de medida utilizada para cuantificar los productos del sistema.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56</v>
      </c>
      <c r="B9" s="64" t="s">
        <v>55</v>
      </c>
      <c r="C9" s="64"/>
      <c r="D9" s="64"/>
      <c r="E9" s="18" t="str">
        <f>Producto!B2</f>
        <v>Producto</v>
      </c>
    </row>
    <row r="10" spans="1:14">
      <c r="A10" s="66" t="s">
        <v>57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1:14">
      <c r="A11" s="73" t="s">
        <v>58</v>
      </c>
      <c r="B11" s="71" t="s">
        <v>59</v>
      </c>
      <c r="C11" s="71" t="s">
        <v>60</v>
      </c>
      <c r="D11" s="71"/>
      <c r="E11" s="71" t="s">
        <v>61</v>
      </c>
      <c r="F11" s="71" t="s">
        <v>62</v>
      </c>
      <c r="G11" s="71" t="s">
        <v>63</v>
      </c>
      <c r="H11" s="71"/>
      <c r="I11" s="71"/>
      <c r="J11" s="71" t="s">
        <v>64</v>
      </c>
      <c r="K11" s="71"/>
      <c r="L11" s="71"/>
      <c r="M11" s="71"/>
      <c r="N11" s="72"/>
    </row>
    <row r="12" spans="1:14">
      <c r="A12" s="73"/>
      <c r="B12" s="71"/>
      <c r="C12" s="10" t="s">
        <v>60</v>
      </c>
      <c r="D12" s="10" t="s">
        <v>65</v>
      </c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4">
      <c r="A13" s="6" t="s">
        <v>66</v>
      </c>
      <c r="B13" s="3" t="s">
        <v>133</v>
      </c>
      <c r="C13" s="3" t="s">
        <v>68</v>
      </c>
      <c r="D13" s="3"/>
      <c r="E13" s="3" t="s">
        <v>49</v>
      </c>
      <c r="F13" s="3" t="s">
        <v>69</v>
      </c>
      <c r="G13" s="64"/>
      <c r="H13" s="64"/>
      <c r="I13" s="64"/>
      <c r="J13" s="64" t="s">
        <v>145</v>
      </c>
      <c r="K13" s="64"/>
      <c r="L13" s="64"/>
      <c r="M13" s="64"/>
      <c r="N13" s="65"/>
    </row>
    <row r="14" spans="1:14">
      <c r="A14" s="6" t="s">
        <v>66</v>
      </c>
      <c r="B14" s="3" t="s">
        <v>71</v>
      </c>
      <c r="C14" s="3" t="s">
        <v>72</v>
      </c>
      <c r="D14" s="3"/>
      <c r="E14" s="3" t="s">
        <v>49</v>
      </c>
      <c r="F14" s="3" t="s">
        <v>69</v>
      </c>
      <c r="G14" s="64"/>
      <c r="H14" s="64"/>
      <c r="I14" s="64"/>
      <c r="J14" s="64" t="s">
        <v>146</v>
      </c>
      <c r="K14" s="64"/>
      <c r="L14" s="64"/>
      <c r="M14" s="64"/>
      <c r="N14" s="65"/>
    </row>
    <row r="15" spans="1:14">
      <c r="A15" s="81" t="s">
        <v>85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3"/>
    </row>
    <row r="16" spans="1:14">
      <c r="A16" s="84" t="s">
        <v>58</v>
      </c>
      <c r="B16" s="79" t="s">
        <v>59</v>
      </c>
      <c r="C16" s="79" t="s">
        <v>86</v>
      </c>
      <c r="D16" s="79" t="s">
        <v>87</v>
      </c>
      <c r="E16" s="79" t="s">
        <v>88</v>
      </c>
      <c r="F16" s="79"/>
      <c r="G16" s="79"/>
      <c r="H16" s="79"/>
      <c r="I16" s="79"/>
      <c r="J16" s="79"/>
      <c r="K16" s="79"/>
      <c r="L16" s="79"/>
      <c r="M16" s="79" t="s">
        <v>89</v>
      </c>
      <c r="N16" s="80"/>
    </row>
    <row r="17" spans="1:14">
      <c r="A17" s="84"/>
      <c r="B17" s="79"/>
      <c r="C17" s="79"/>
      <c r="D17" s="79"/>
      <c r="E17" s="11" t="s">
        <v>59</v>
      </c>
      <c r="F17" s="11" t="s">
        <v>60</v>
      </c>
      <c r="G17" s="11" t="s">
        <v>65</v>
      </c>
      <c r="H17" s="11" t="s">
        <v>90</v>
      </c>
      <c r="I17" s="11" t="s">
        <v>61</v>
      </c>
      <c r="J17" s="79" t="s">
        <v>87</v>
      </c>
      <c r="K17" s="79"/>
      <c r="L17" s="79"/>
      <c r="M17" s="79"/>
      <c r="N17" s="80"/>
    </row>
    <row r="18" spans="1:14">
      <c r="A18" s="6" t="s">
        <v>91</v>
      </c>
      <c r="B18" s="3" t="str">
        <f>B2</f>
        <v>UnidadMedida</v>
      </c>
      <c r="C18" s="3" t="s">
        <v>92</v>
      </c>
      <c r="D18" s="3" t="s">
        <v>147</v>
      </c>
      <c r="E18" s="3" t="s">
        <v>133</v>
      </c>
      <c r="F18" s="3" t="s">
        <v>68</v>
      </c>
      <c r="G18" s="3"/>
      <c r="H18" s="3" t="s">
        <v>94</v>
      </c>
      <c r="I18" s="3" t="s">
        <v>49</v>
      </c>
      <c r="J18" s="45" t="s">
        <v>148</v>
      </c>
      <c r="K18" s="48"/>
      <c r="L18" s="49"/>
      <c r="M18" s="45"/>
      <c r="N18" s="46"/>
    </row>
    <row r="19" spans="1:14">
      <c r="A19" s="6" t="s">
        <v>91</v>
      </c>
      <c r="B19" s="3" t="str">
        <f>B2</f>
        <v>UnidadMedida</v>
      </c>
      <c r="C19" s="3" t="s">
        <v>97</v>
      </c>
      <c r="D19" s="3" t="s">
        <v>149</v>
      </c>
      <c r="E19" s="3" t="s">
        <v>71</v>
      </c>
      <c r="F19" s="3" t="s">
        <v>72</v>
      </c>
      <c r="G19" s="3"/>
      <c r="H19" s="3" t="s">
        <v>94</v>
      </c>
      <c r="I19" s="3" t="s">
        <v>49</v>
      </c>
      <c r="J19" s="45" t="s">
        <v>150</v>
      </c>
      <c r="K19" s="48"/>
      <c r="L19" s="49"/>
      <c r="M19" s="45"/>
      <c r="N19" s="46"/>
    </row>
    <row r="20" spans="1:14">
      <c r="A20" s="58" t="s">
        <v>101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60"/>
    </row>
    <row r="21" spans="1:14">
      <c r="A21" s="63" t="s">
        <v>58</v>
      </c>
      <c r="B21" s="47" t="s">
        <v>59</v>
      </c>
      <c r="C21" s="47" t="s">
        <v>102</v>
      </c>
      <c r="D21" s="47" t="s">
        <v>103</v>
      </c>
      <c r="E21" s="47" t="s">
        <v>87</v>
      </c>
      <c r="F21" s="47" t="s">
        <v>88</v>
      </c>
      <c r="G21" s="47"/>
      <c r="H21" s="47"/>
      <c r="I21" s="47"/>
      <c r="J21" s="47"/>
      <c r="K21" s="47"/>
      <c r="L21" s="47" t="s">
        <v>104</v>
      </c>
      <c r="M21" s="47"/>
      <c r="N21" s="61" t="s">
        <v>89</v>
      </c>
    </row>
    <row r="22" spans="1:14">
      <c r="A22" s="63"/>
      <c r="B22" s="47"/>
      <c r="C22" s="47"/>
      <c r="D22" s="47"/>
      <c r="E22" s="47"/>
      <c r="F22" s="12" t="s">
        <v>59</v>
      </c>
      <c r="G22" s="12" t="s">
        <v>60</v>
      </c>
      <c r="H22" s="12" t="s">
        <v>65</v>
      </c>
      <c r="I22" s="12" t="s">
        <v>90</v>
      </c>
      <c r="J22" s="12" t="s">
        <v>61</v>
      </c>
      <c r="K22" s="12" t="s">
        <v>87</v>
      </c>
      <c r="L22" s="12" t="s">
        <v>60</v>
      </c>
      <c r="M22" s="12" t="s">
        <v>65</v>
      </c>
      <c r="N22" s="61"/>
    </row>
    <row r="23" spans="1:14">
      <c r="A23" s="6" t="s">
        <v>91</v>
      </c>
      <c r="B23" s="3" t="s">
        <v>140</v>
      </c>
      <c r="C23" s="3" t="s">
        <v>106</v>
      </c>
      <c r="D23" s="3" t="s">
        <v>49</v>
      </c>
      <c r="E23" s="3" t="s">
        <v>141</v>
      </c>
      <c r="F23" s="3" t="s">
        <v>133</v>
      </c>
      <c r="G23" s="3" t="s">
        <v>68</v>
      </c>
      <c r="H23" s="3"/>
      <c r="I23" s="3" t="s">
        <v>94</v>
      </c>
      <c r="J23" s="3" t="s">
        <v>49</v>
      </c>
      <c r="K23" s="3" t="s">
        <v>151</v>
      </c>
      <c r="L23" s="3"/>
      <c r="M23" s="3"/>
      <c r="N23" s="7"/>
    </row>
    <row r="24" spans="1:14">
      <c r="A24" s="6" t="s">
        <v>91</v>
      </c>
      <c r="B24" s="139" t="s">
        <v>108</v>
      </c>
      <c r="C24" s="139" t="s">
        <v>112</v>
      </c>
      <c r="D24" s="3" t="s">
        <v>49</v>
      </c>
      <c r="E24" s="3" t="s">
        <v>142</v>
      </c>
      <c r="F24" s="3" t="s">
        <v>71</v>
      </c>
      <c r="G24" s="3" t="s">
        <v>72</v>
      </c>
      <c r="H24" s="3"/>
      <c r="I24" s="3" t="s">
        <v>94</v>
      </c>
      <c r="J24" s="3" t="s">
        <v>49</v>
      </c>
      <c r="K24" s="3" t="s">
        <v>152</v>
      </c>
      <c r="L24" s="3"/>
      <c r="M24" s="3"/>
      <c r="N24" s="7"/>
    </row>
    <row r="25" spans="1:14">
      <c r="A25" s="6" t="s">
        <v>91</v>
      </c>
      <c r="B25" s="3" t="s">
        <v>111</v>
      </c>
      <c r="C25" s="3" t="s">
        <v>112</v>
      </c>
      <c r="D25" s="3" t="s">
        <v>49</v>
      </c>
      <c r="E25" s="3" t="s">
        <v>143</v>
      </c>
      <c r="F25" s="3"/>
      <c r="G25" s="3"/>
      <c r="H25" s="3"/>
      <c r="I25" s="3"/>
      <c r="J25" s="3"/>
      <c r="K25" s="3"/>
      <c r="L25" s="3"/>
      <c r="M25" s="3"/>
      <c r="N25" s="7"/>
    </row>
    <row r="26" spans="1:14">
      <c r="A26" s="54" t="s">
        <v>118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6"/>
    </row>
    <row r="27" spans="1:14">
      <c r="A27" s="62" t="s">
        <v>58</v>
      </c>
      <c r="B27" s="53" t="s">
        <v>59</v>
      </c>
      <c r="C27" s="53" t="s">
        <v>119</v>
      </c>
      <c r="D27" s="53" t="s">
        <v>103</v>
      </c>
      <c r="E27" s="53" t="s">
        <v>87</v>
      </c>
      <c r="F27" s="53" t="s">
        <v>88</v>
      </c>
      <c r="G27" s="53"/>
      <c r="H27" s="53"/>
      <c r="I27" s="53"/>
      <c r="J27" s="53"/>
      <c r="K27" s="53"/>
      <c r="L27" s="53" t="s">
        <v>104</v>
      </c>
      <c r="M27" s="53"/>
      <c r="N27" s="57" t="s">
        <v>89</v>
      </c>
    </row>
    <row r="28" spans="1:14">
      <c r="A28" s="62"/>
      <c r="B28" s="53"/>
      <c r="C28" s="53"/>
      <c r="D28" s="53"/>
      <c r="E28" s="53"/>
      <c r="F28" s="13" t="s">
        <v>59</v>
      </c>
      <c r="G28" s="13" t="s">
        <v>60</v>
      </c>
      <c r="H28" s="13" t="s">
        <v>65</v>
      </c>
      <c r="I28" s="13" t="s">
        <v>90</v>
      </c>
      <c r="J28" s="13" t="s">
        <v>61</v>
      </c>
      <c r="K28" s="13" t="s">
        <v>87</v>
      </c>
      <c r="L28" s="13" t="s">
        <v>60</v>
      </c>
      <c r="M28" s="13" t="s">
        <v>65</v>
      </c>
      <c r="N28" s="57"/>
    </row>
    <row r="29" spans="1:14">
      <c r="A29" s="6" t="s">
        <v>91</v>
      </c>
      <c r="B29" s="3" t="s">
        <v>153</v>
      </c>
      <c r="C29" s="3" t="s">
        <v>69</v>
      </c>
      <c r="D29" s="3" t="s">
        <v>49</v>
      </c>
      <c r="E29" s="3" t="s">
        <v>154</v>
      </c>
      <c r="F29" s="3" t="s">
        <v>71</v>
      </c>
      <c r="G29" s="3" t="s">
        <v>72</v>
      </c>
      <c r="H29" s="3"/>
      <c r="I29" s="3" t="s">
        <v>94</v>
      </c>
      <c r="J29" s="3" t="s">
        <v>49</v>
      </c>
      <c r="K29" s="3" t="s">
        <v>155</v>
      </c>
      <c r="L29" s="3" t="s">
        <v>72</v>
      </c>
      <c r="M29" s="3"/>
      <c r="N29" s="7"/>
    </row>
    <row r="30" spans="1:14">
      <c r="A30" s="1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8"/>
    </row>
  </sheetData>
  <mergeCells count="51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M16:N17"/>
    <mergeCell ref="J17:L17"/>
    <mergeCell ref="J11:N12"/>
    <mergeCell ref="G13:I13"/>
    <mergeCell ref="J13:N13"/>
    <mergeCell ref="G14:I14"/>
    <mergeCell ref="J14:N14"/>
    <mergeCell ref="A15:N15"/>
    <mergeCell ref="E21:E22"/>
    <mergeCell ref="A16:A17"/>
    <mergeCell ref="B16:B17"/>
    <mergeCell ref="C16:C17"/>
    <mergeCell ref="D16:D17"/>
    <mergeCell ref="E16:L16"/>
    <mergeCell ref="J18:L18"/>
    <mergeCell ref="A21:A22"/>
    <mergeCell ref="B21:B22"/>
    <mergeCell ref="C21:C22"/>
    <mergeCell ref="D21:D22"/>
    <mergeCell ref="M18:N18"/>
    <mergeCell ref="J19:L19"/>
    <mergeCell ref="M19:N19"/>
    <mergeCell ref="A20:N20"/>
    <mergeCell ref="L27:M27"/>
    <mergeCell ref="N27:N28"/>
    <mergeCell ref="F21:K21"/>
    <mergeCell ref="L21:M21"/>
    <mergeCell ref="N21:N22"/>
    <mergeCell ref="A26:N26"/>
    <mergeCell ref="A27:A28"/>
    <mergeCell ref="B27:B28"/>
    <mergeCell ref="C27:C28"/>
    <mergeCell ref="D27:D28"/>
    <mergeCell ref="E27:E28"/>
    <mergeCell ref="F27:K27"/>
  </mergeCells>
  <hyperlinks>
    <hyperlink ref="A1:E1" location="Clases!A1" display="&lt;-Volver al inicio" xr:uid="{C8E8AAE6-1E9C-49A0-9A0B-3C1CDD694A07}"/>
    <hyperlink ref="E9" location="ClaseUno!A1" display="ClaseUno!A1" xr:uid="{2A106AFC-61A4-4876-9967-6673483FC939}"/>
  </hyperlinks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5FAA61D-875F-4B1D-AE48-2F65C18190AE}">
          <x14:formula1>
            <xm:f>Valores!$B$2:$B$3</xm:f>
          </x14:formula1>
          <xm:sqref>A9</xm:sqref>
        </x14:dataValidation>
        <x14:dataValidation type="list" allowBlank="1" showInputMessage="1" showErrorMessage="1" xr:uid="{DEDC09B9-E2DD-4DBA-A220-1C9B6F323185}">
          <x14:formula1>
            <xm:f>Valores!$C$2:$C$7</xm:f>
          </x14:formula1>
          <xm:sqref>B9</xm:sqref>
        </x14:dataValidation>
        <x14:dataValidation type="list" allowBlank="1" showInputMessage="1" showErrorMessage="1" xr:uid="{BDB25827-F221-4CCF-88CD-7653A35D62F8}">
          <x14:formula1>
            <xm:f>Valores!$D$2:$D$3</xm:f>
          </x14:formula1>
          <xm:sqref>B5</xm:sqref>
        </x14:dataValidation>
        <x14:dataValidation type="list" allowBlank="1" showInputMessage="1" showErrorMessage="1" xr:uid="{CB4D488D-9822-4789-B858-22B61059F423}">
          <x14:formula1>
            <xm:f>Valores!$E$2:$E$3</xm:f>
          </x14:formula1>
          <xm:sqref>B6 E13:E14 I18:I19 J23:J25 J29:J30 D23:D25 D29:D30</xm:sqref>
        </x14:dataValidation>
        <x14:dataValidation type="list" allowBlank="1" showInputMessage="1" showErrorMessage="1" xr:uid="{B2DAEF03-F1CF-42D1-B523-8DFEB8D625BA}">
          <x14:formula1>
            <xm:f>Clases!$A$2:$A$13</xm:f>
          </x14:formula1>
          <xm:sqref>E9</xm:sqref>
        </x14:dataValidation>
        <x14:dataValidation type="list" allowBlank="1" showInputMessage="1" showErrorMessage="1" xr:uid="{4A626A8E-EC64-4AE6-A737-C1E3397ABDD3}">
          <x14:formula1>
            <xm:f>Valores!$F$2:$F$5</xm:f>
          </x14:formula1>
          <xm:sqref>A13:A14 A18:A19 A23:A25 A29:A30</xm:sqref>
        </x14:dataValidation>
        <x14:dataValidation type="list" allowBlank="1" showInputMessage="1" showErrorMessage="1" xr:uid="{D7FA85B2-06E2-4187-AA2B-5C01C9A7C51A}">
          <x14:formula1>
            <xm:f>Valores!$G$2:$G$12</xm:f>
          </x14:formula1>
          <xm:sqref>C13:C14 F18:F19 G23:G25 L23:L25 G29:G30 L30</xm:sqref>
        </x14:dataValidation>
        <x14:dataValidation type="list" allowBlank="1" showInputMessage="1" showErrorMessage="1" xr:uid="{2DBC5687-1F3D-4E1F-B4AA-1637C2087194}">
          <x14:formula1>
            <xm:f>Valores!$H$2:$H$3</xm:f>
          </x14:formula1>
          <xm:sqref>F13:F14 C29:C30</xm:sqref>
        </x14:dataValidation>
        <x14:dataValidation type="list" allowBlank="1" showInputMessage="1" showErrorMessage="1" xr:uid="{FD40AAD6-7847-4C55-8F92-1B1F67136B07}">
          <x14:formula1>
            <xm:f>Valores!$I$2:$I$3</xm:f>
          </x14:formula1>
          <xm:sqref>C18:C19</xm:sqref>
        </x14:dataValidation>
        <x14:dataValidation type="list" allowBlank="1" showInputMessage="1" showErrorMessage="1" xr:uid="{8DA42F53-9BAE-49A8-88C2-EC371C57835A}">
          <x14:formula1>
            <xm:f>Valores!$J$2:$J$3</xm:f>
          </x14:formula1>
          <xm:sqref>H18:H19 I23:I25 I29:I30</xm:sqref>
        </x14:dataValidation>
        <x14:dataValidation type="list" allowBlank="1" showInputMessage="1" showErrorMessage="1" xr:uid="{96BE1004-6B51-43E1-976A-2CE5E0343947}">
          <x14:formula1>
            <xm:f>Valores!$K$2:$K$3</xm:f>
          </x14:formula1>
          <xm:sqref>C23:C25</xm:sqref>
        </x14:dataValidation>
        <x14:dataValidation type="list" allowBlank="1" showInputMessage="1" showErrorMessage="1" xr:uid="{667000D3-37CC-49D1-B795-A8B0A5D81CE7}">
          <x14:formula1>
            <xm:f>Valores!$L$2:$L$13</xm:f>
          </x14:formula1>
          <xm:sqref>L29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F26B6-6129-426B-91CC-9E1B348D280F}">
  <dimension ref="A1:N32"/>
  <sheetViews>
    <sheetView zoomScale="55" zoomScaleNormal="55" workbookViewId="0">
      <pane ySplit="1" topLeftCell="B2" activePane="bottomLeft" state="frozen"/>
      <selection pane="bottomLeft" activeCell="B2" sqref="B2:E2"/>
    </sheetView>
  </sheetViews>
  <sheetFormatPr defaultColWidth="19.7109375" defaultRowHeight="15"/>
  <cols>
    <col min="1" max="1" width="28.7109375" style="1" customWidth="1"/>
    <col min="2" max="2" width="27.140625" style="1" customWidth="1"/>
    <col min="3" max="3" width="27.140625" style="1" bestFit="1" customWidth="1"/>
    <col min="4" max="4" width="77.7109375" style="1" customWidth="1"/>
    <col min="5" max="5" width="87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9.710937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Clases!A5</f>
        <v>EstadoUsuario</v>
      </c>
      <c r="C2" s="77"/>
      <c r="D2" s="77"/>
      <c r="E2" s="78"/>
    </row>
    <row r="3" spans="1:14">
      <c r="A3" s="17" t="str">
        <f>Clases!$B$1</f>
        <v>Estereotipo</v>
      </c>
      <c r="B3" s="64" t="str">
        <f>Clases!B5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Clases!C5</f>
        <v>Clase que representa el estado en el que se encuentra un usuario del sistema.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56</v>
      </c>
      <c r="B9" s="64" t="s">
        <v>55</v>
      </c>
      <c r="C9" s="64"/>
      <c r="D9" s="64"/>
      <c r="E9" s="35" t="s">
        <v>15</v>
      </c>
    </row>
    <row r="10" spans="1:14">
      <c r="A10" s="66" t="s">
        <v>57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1:14">
      <c r="A11" s="73" t="s">
        <v>58</v>
      </c>
      <c r="B11" s="71" t="s">
        <v>59</v>
      </c>
      <c r="C11" s="71" t="s">
        <v>60</v>
      </c>
      <c r="D11" s="71"/>
      <c r="E11" s="71" t="s">
        <v>61</v>
      </c>
      <c r="F11" s="71" t="s">
        <v>62</v>
      </c>
      <c r="G11" s="71" t="s">
        <v>63</v>
      </c>
      <c r="H11" s="71"/>
      <c r="I11" s="71"/>
      <c r="J11" s="71" t="s">
        <v>64</v>
      </c>
      <c r="K11" s="71"/>
      <c r="L11" s="71"/>
      <c r="M11" s="71"/>
      <c r="N11" s="72"/>
    </row>
    <row r="12" spans="1:14">
      <c r="A12" s="73"/>
      <c r="B12" s="71"/>
      <c r="C12" s="10" t="s">
        <v>60</v>
      </c>
      <c r="D12" s="10" t="s">
        <v>65</v>
      </c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4">
      <c r="A13" s="6" t="s">
        <v>66</v>
      </c>
      <c r="B13" s="3" t="s">
        <v>133</v>
      </c>
      <c r="C13" s="3" t="s">
        <v>68</v>
      </c>
      <c r="D13" s="3"/>
      <c r="E13" s="3" t="s">
        <v>49</v>
      </c>
      <c r="F13" s="3" t="s">
        <v>69</v>
      </c>
      <c r="G13" s="64"/>
      <c r="H13" s="64"/>
      <c r="I13" s="64"/>
      <c r="J13" s="64" t="s">
        <v>156</v>
      </c>
      <c r="K13" s="64"/>
      <c r="L13" s="64"/>
      <c r="M13" s="64"/>
      <c r="N13" s="65"/>
    </row>
    <row r="14" spans="1:14">
      <c r="A14" s="6" t="s">
        <v>66</v>
      </c>
      <c r="B14" s="3" t="s">
        <v>71</v>
      </c>
      <c r="C14" s="3" t="s">
        <v>72</v>
      </c>
      <c r="D14" s="3"/>
      <c r="E14" s="3" t="s">
        <v>49</v>
      </c>
      <c r="F14" s="3" t="s">
        <v>69</v>
      </c>
      <c r="G14" s="64"/>
      <c r="H14" s="64"/>
      <c r="I14" s="64"/>
      <c r="J14" s="64" t="s">
        <v>157</v>
      </c>
      <c r="K14" s="64"/>
      <c r="L14" s="64"/>
      <c r="M14" s="64"/>
      <c r="N14" s="65"/>
    </row>
    <row r="15" spans="1:14">
      <c r="A15" s="81" t="s">
        <v>85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3"/>
    </row>
    <row r="16" spans="1:14">
      <c r="A16" s="84" t="s">
        <v>58</v>
      </c>
      <c r="B16" s="79" t="s">
        <v>59</v>
      </c>
      <c r="C16" s="79" t="s">
        <v>86</v>
      </c>
      <c r="D16" s="79" t="s">
        <v>87</v>
      </c>
      <c r="E16" s="79" t="s">
        <v>88</v>
      </c>
      <c r="F16" s="79"/>
      <c r="G16" s="79"/>
      <c r="H16" s="79"/>
      <c r="I16" s="79"/>
      <c r="J16" s="79"/>
      <c r="K16" s="79"/>
      <c r="L16" s="79"/>
      <c r="M16" s="79" t="s">
        <v>89</v>
      </c>
      <c r="N16" s="80"/>
    </row>
    <row r="17" spans="1:14">
      <c r="A17" s="84"/>
      <c r="B17" s="79"/>
      <c r="C17" s="79"/>
      <c r="D17" s="79"/>
      <c r="E17" s="11" t="s">
        <v>59</v>
      </c>
      <c r="F17" s="11" t="s">
        <v>60</v>
      </c>
      <c r="G17" s="11" t="s">
        <v>65</v>
      </c>
      <c r="H17" s="11" t="s">
        <v>90</v>
      </c>
      <c r="I17" s="11" t="s">
        <v>61</v>
      </c>
      <c r="J17" s="79" t="s">
        <v>87</v>
      </c>
      <c r="K17" s="79"/>
      <c r="L17" s="79"/>
      <c r="M17" s="79"/>
      <c r="N17" s="80"/>
    </row>
    <row r="18" spans="1:14">
      <c r="A18" s="6" t="s">
        <v>91</v>
      </c>
      <c r="B18" s="3" t="str">
        <f>B2</f>
        <v>EstadoUsuario</v>
      </c>
      <c r="C18" s="3" t="s">
        <v>92</v>
      </c>
      <c r="D18" s="3" t="s">
        <v>158</v>
      </c>
      <c r="E18" s="3"/>
      <c r="F18" s="3"/>
      <c r="G18" s="3"/>
      <c r="H18" s="3"/>
      <c r="I18" s="3"/>
      <c r="J18" s="45"/>
      <c r="K18" s="48"/>
      <c r="L18" s="49"/>
      <c r="M18" s="45"/>
      <c r="N18" s="46"/>
    </row>
    <row r="19" spans="1:14">
      <c r="A19" s="87" t="s">
        <v>91</v>
      </c>
      <c r="B19" s="70" t="str">
        <f>B2</f>
        <v>EstadoUsuario</v>
      </c>
      <c r="C19" s="70" t="s">
        <v>97</v>
      </c>
      <c r="D19" s="43" t="s">
        <v>159</v>
      </c>
      <c r="E19" s="33" t="s">
        <v>133</v>
      </c>
      <c r="F19" s="3" t="s">
        <v>68</v>
      </c>
      <c r="G19" s="3"/>
      <c r="H19" s="43" t="s">
        <v>94</v>
      </c>
      <c r="I19" s="43" t="s">
        <v>49</v>
      </c>
      <c r="J19" s="45" t="s">
        <v>160</v>
      </c>
      <c r="K19" s="48"/>
      <c r="L19" s="49"/>
      <c r="M19" s="45"/>
      <c r="N19" s="46"/>
    </row>
    <row r="20" spans="1:14">
      <c r="A20" s="88"/>
      <c r="B20" s="86"/>
      <c r="C20" s="86"/>
      <c r="D20" s="44"/>
      <c r="E20" s="34" t="s">
        <v>71</v>
      </c>
      <c r="F20" s="3" t="s">
        <v>72</v>
      </c>
      <c r="G20" s="3"/>
      <c r="H20" s="44"/>
      <c r="I20" s="44"/>
      <c r="J20" s="28" t="s">
        <v>161</v>
      </c>
      <c r="K20" s="29"/>
      <c r="L20" s="30"/>
      <c r="M20" s="28"/>
      <c r="N20" s="31"/>
    </row>
    <row r="21" spans="1:14">
      <c r="A21" s="58" t="s">
        <v>101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1:14">
      <c r="A22" s="63" t="s">
        <v>58</v>
      </c>
      <c r="B22" s="47" t="s">
        <v>59</v>
      </c>
      <c r="C22" s="47" t="s">
        <v>102</v>
      </c>
      <c r="D22" s="47" t="s">
        <v>103</v>
      </c>
      <c r="E22" s="47" t="s">
        <v>87</v>
      </c>
      <c r="F22" s="47" t="s">
        <v>88</v>
      </c>
      <c r="G22" s="47"/>
      <c r="H22" s="47"/>
      <c r="I22" s="47"/>
      <c r="J22" s="47"/>
      <c r="K22" s="47"/>
      <c r="L22" s="47" t="s">
        <v>104</v>
      </c>
      <c r="M22" s="47"/>
      <c r="N22" s="61" t="s">
        <v>89</v>
      </c>
    </row>
    <row r="23" spans="1:14">
      <c r="A23" s="63"/>
      <c r="B23" s="47"/>
      <c r="C23" s="47"/>
      <c r="D23" s="47"/>
      <c r="E23" s="47"/>
      <c r="F23" s="12" t="s">
        <v>59</v>
      </c>
      <c r="G23" s="12" t="s">
        <v>60</v>
      </c>
      <c r="H23" s="12" t="s">
        <v>65</v>
      </c>
      <c r="I23" s="12" t="s">
        <v>90</v>
      </c>
      <c r="J23" s="12" t="s">
        <v>61</v>
      </c>
      <c r="K23" s="12" t="s">
        <v>87</v>
      </c>
      <c r="L23" s="12" t="s">
        <v>60</v>
      </c>
      <c r="M23" s="12" t="s">
        <v>65</v>
      </c>
      <c r="N23" s="61"/>
    </row>
    <row r="24" spans="1:14">
      <c r="A24" s="6" t="s">
        <v>91</v>
      </c>
      <c r="B24" s="3" t="s">
        <v>140</v>
      </c>
      <c r="C24" s="3" t="s">
        <v>106</v>
      </c>
      <c r="D24" s="3" t="s">
        <v>49</v>
      </c>
      <c r="E24" s="3" t="s">
        <v>141</v>
      </c>
      <c r="F24" s="43" t="s">
        <v>133</v>
      </c>
      <c r="G24" s="43" t="s">
        <v>68</v>
      </c>
      <c r="H24" s="3"/>
      <c r="I24" s="43" t="s">
        <v>94</v>
      </c>
      <c r="J24" s="43" t="s">
        <v>49</v>
      </c>
      <c r="K24" s="43" t="s">
        <v>151</v>
      </c>
      <c r="L24" s="3" t="s">
        <v>68</v>
      </c>
      <c r="M24" s="3"/>
      <c r="N24" s="7"/>
    </row>
    <row r="25" spans="1:14">
      <c r="A25" s="6" t="s">
        <v>91</v>
      </c>
      <c r="B25" s="3" t="s">
        <v>162</v>
      </c>
      <c r="C25" s="3" t="s">
        <v>112</v>
      </c>
      <c r="D25" s="3" t="s">
        <v>49</v>
      </c>
      <c r="E25" s="3" t="s">
        <v>163</v>
      </c>
      <c r="F25" s="44"/>
      <c r="G25" s="44"/>
      <c r="H25" s="3"/>
      <c r="I25" s="85"/>
      <c r="J25" s="85"/>
      <c r="K25" s="44"/>
      <c r="L25" s="3"/>
      <c r="M25" s="3"/>
      <c r="N25" s="7"/>
    </row>
    <row r="26" spans="1:14">
      <c r="A26" s="6" t="s">
        <v>91</v>
      </c>
      <c r="B26" s="3" t="s">
        <v>108</v>
      </c>
      <c r="C26" s="3" t="s">
        <v>106</v>
      </c>
      <c r="D26" s="3" t="s">
        <v>49</v>
      </c>
      <c r="E26" s="3" t="s">
        <v>142</v>
      </c>
      <c r="F26" s="43" t="s">
        <v>71</v>
      </c>
      <c r="G26" s="43" t="s">
        <v>72</v>
      </c>
      <c r="H26" s="3"/>
      <c r="I26" s="85"/>
      <c r="J26" s="85"/>
      <c r="K26" s="43" t="s">
        <v>152</v>
      </c>
      <c r="L26" s="3" t="s">
        <v>72</v>
      </c>
      <c r="M26" s="3"/>
      <c r="N26" s="7"/>
    </row>
    <row r="27" spans="1:14">
      <c r="A27" s="6" t="s">
        <v>91</v>
      </c>
      <c r="B27" s="3" t="s">
        <v>111</v>
      </c>
      <c r="C27" s="3" t="s">
        <v>112</v>
      </c>
      <c r="D27" s="3" t="s">
        <v>49</v>
      </c>
      <c r="E27" s="3" t="s">
        <v>143</v>
      </c>
      <c r="F27" s="44"/>
      <c r="G27" s="44"/>
      <c r="H27" s="3"/>
      <c r="I27" s="44"/>
      <c r="J27" s="44"/>
      <c r="K27" s="44"/>
      <c r="L27" s="3"/>
      <c r="M27" s="3"/>
      <c r="N27" s="7"/>
    </row>
    <row r="28" spans="1:14">
      <c r="A28" s="54" t="s">
        <v>118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6"/>
    </row>
    <row r="29" spans="1:14">
      <c r="A29" s="62" t="s">
        <v>58</v>
      </c>
      <c r="B29" s="53" t="s">
        <v>59</v>
      </c>
      <c r="C29" s="53" t="s">
        <v>119</v>
      </c>
      <c r="D29" s="53" t="s">
        <v>103</v>
      </c>
      <c r="E29" s="53" t="s">
        <v>87</v>
      </c>
      <c r="F29" s="53" t="s">
        <v>88</v>
      </c>
      <c r="G29" s="53"/>
      <c r="H29" s="53"/>
      <c r="I29" s="53"/>
      <c r="J29" s="53"/>
      <c r="K29" s="53"/>
      <c r="L29" s="53" t="s">
        <v>104</v>
      </c>
      <c r="M29" s="53"/>
      <c r="N29" s="57" t="s">
        <v>89</v>
      </c>
    </row>
    <row r="30" spans="1:14">
      <c r="A30" s="62"/>
      <c r="B30" s="53"/>
      <c r="C30" s="53"/>
      <c r="D30" s="53"/>
      <c r="E30" s="53"/>
      <c r="F30" s="13" t="s">
        <v>59</v>
      </c>
      <c r="G30" s="13" t="s">
        <v>60</v>
      </c>
      <c r="H30" s="13" t="s">
        <v>65</v>
      </c>
      <c r="I30" s="13" t="s">
        <v>90</v>
      </c>
      <c r="J30" s="13" t="s">
        <v>61</v>
      </c>
      <c r="K30" s="13" t="s">
        <v>87</v>
      </c>
      <c r="L30" s="13" t="s">
        <v>60</v>
      </c>
      <c r="M30" s="13" t="s">
        <v>65</v>
      </c>
      <c r="N30" s="57"/>
    </row>
    <row r="31" spans="1:14">
      <c r="A31" s="6" t="s">
        <v>91</v>
      </c>
      <c r="B31" s="3" t="s">
        <v>122</v>
      </c>
      <c r="C31" s="3" t="s">
        <v>69</v>
      </c>
      <c r="D31" s="3" t="s">
        <v>49</v>
      </c>
      <c r="E31" s="3" t="s">
        <v>164</v>
      </c>
      <c r="F31" s="3"/>
      <c r="G31" s="3"/>
      <c r="H31" s="3"/>
      <c r="I31" s="3"/>
      <c r="J31" s="3"/>
      <c r="K31" s="3"/>
      <c r="L31" s="3" t="s">
        <v>72</v>
      </c>
      <c r="M31" s="3"/>
      <c r="N31" s="7"/>
    </row>
    <row r="32" spans="1:14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8"/>
    </row>
  </sheetData>
  <mergeCells count="65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M16:N17"/>
    <mergeCell ref="J17:L17"/>
    <mergeCell ref="J11:N12"/>
    <mergeCell ref="G13:I13"/>
    <mergeCell ref="J13:N13"/>
    <mergeCell ref="G14:I14"/>
    <mergeCell ref="J14:N14"/>
    <mergeCell ref="A15:N15"/>
    <mergeCell ref="A16:A17"/>
    <mergeCell ref="B16:B17"/>
    <mergeCell ref="C16:C17"/>
    <mergeCell ref="D16:D17"/>
    <mergeCell ref="E16:L16"/>
    <mergeCell ref="J18:L18"/>
    <mergeCell ref="M18:N18"/>
    <mergeCell ref="J19:L19"/>
    <mergeCell ref="M19:N19"/>
    <mergeCell ref="A21:N21"/>
    <mergeCell ref="A19:A20"/>
    <mergeCell ref="L22:M22"/>
    <mergeCell ref="N22:N23"/>
    <mergeCell ref="A28:N28"/>
    <mergeCell ref="A29:A30"/>
    <mergeCell ref="B29:B30"/>
    <mergeCell ref="C29:C30"/>
    <mergeCell ref="D29:D30"/>
    <mergeCell ref="E29:E30"/>
    <mergeCell ref="F29:K29"/>
    <mergeCell ref="A22:A23"/>
    <mergeCell ref="B22:B23"/>
    <mergeCell ref="C22:C23"/>
    <mergeCell ref="D22:D23"/>
    <mergeCell ref="E22:E23"/>
    <mergeCell ref="L29:M29"/>
    <mergeCell ref="N29:N30"/>
    <mergeCell ref="K24:K25"/>
    <mergeCell ref="K26:K27"/>
    <mergeCell ref="G24:G25"/>
    <mergeCell ref="G26:G27"/>
    <mergeCell ref="B19:B20"/>
    <mergeCell ref="C19:C20"/>
    <mergeCell ref="D19:D20"/>
    <mergeCell ref="H19:H20"/>
    <mergeCell ref="I19:I20"/>
    <mergeCell ref="F24:F25"/>
    <mergeCell ref="F26:F27"/>
    <mergeCell ref="I24:I27"/>
    <mergeCell ref="J24:J27"/>
    <mergeCell ref="F22:K22"/>
  </mergeCells>
  <hyperlinks>
    <hyperlink ref="A1:E1" location="Clases!A1" display="&lt;-Volver al inicio" xr:uid="{A461C27E-38F1-4F97-878B-DC103311B915}"/>
    <hyperlink ref="E9" location="'Usuario'!B2" display="Usuario" xr:uid="{62BBAE3D-477A-4EF0-B081-69AEB5F1D09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6077785A-1577-401E-A90A-1A3AC6F4D3AD}">
          <x14:formula1>
            <xm:f>Valores!$L$2:$L$13</xm:f>
          </x14:formula1>
          <xm:sqref>L31</xm:sqref>
        </x14:dataValidation>
        <x14:dataValidation type="list" allowBlank="1" showInputMessage="1" showErrorMessage="1" xr:uid="{8F0A7A03-2486-430F-B2A6-90CAA3F7E6A2}">
          <x14:formula1>
            <xm:f>Valores!$K$2:$K$3</xm:f>
          </x14:formula1>
          <xm:sqref>C24:C27</xm:sqref>
        </x14:dataValidation>
        <x14:dataValidation type="list" allowBlank="1" showInputMessage="1" showErrorMessage="1" xr:uid="{6A72E934-7989-4EA5-9E77-2A432CCFBE0B}">
          <x14:formula1>
            <xm:f>Valores!$J$2:$J$3</xm:f>
          </x14:formula1>
          <xm:sqref>I24 I31:I32 H18:H19</xm:sqref>
        </x14:dataValidation>
        <x14:dataValidation type="list" allowBlank="1" showInputMessage="1" showErrorMessage="1" xr:uid="{37EE8001-CF18-4B30-81FE-EA3A07BA106B}">
          <x14:formula1>
            <xm:f>Valores!$I$2:$I$3</xm:f>
          </x14:formula1>
          <xm:sqref>C18:C19</xm:sqref>
        </x14:dataValidation>
        <x14:dataValidation type="list" allowBlank="1" showInputMessage="1" showErrorMessage="1" xr:uid="{7B2515D0-A5A5-4505-90CE-1D183539FC66}">
          <x14:formula1>
            <xm:f>Valores!$H$2:$H$3</xm:f>
          </x14:formula1>
          <xm:sqref>F13:F14 C31:C32</xm:sqref>
        </x14:dataValidation>
        <x14:dataValidation type="list" allowBlank="1" showInputMessage="1" showErrorMessage="1" xr:uid="{4348EA61-6C2F-4C5D-8B6E-932139008283}">
          <x14:formula1>
            <xm:f>Valores!$G$2:$G$12</xm:f>
          </x14:formula1>
          <xm:sqref>C13:C14 F18:F20 L32 G31:G32 L24:L27 G24 G26</xm:sqref>
        </x14:dataValidation>
        <x14:dataValidation type="list" allowBlank="1" showInputMessage="1" showErrorMessage="1" xr:uid="{33300C5F-4576-4367-B5B0-D75496C65724}">
          <x14:formula1>
            <xm:f>Valores!$F$2:$F$5</xm:f>
          </x14:formula1>
          <xm:sqref>A13:A14 A24:A27 A31:A32 A18:A19</xm:sqref>
        </x14:dataValidation>
        <x14:dataValidation type="list" allowBlank="1" showInputMessage="1" showErrorMessage="1" xr:uid="{B81CC3EA-F022-48C9-8E7B-6956E474CA9E}">
          <x14:formula1>
            <xm:f>Clases!$A$2:$A$13</xm:f>
          </x14:formula1>
          <xm:sqref>E9</xm:sqref>
        </x14:dataValidation>
        <x14:dataValidation type="list" allowBlank="1" showInputMessage="1" showErrorMessage="1" xr:uid="{D0D5F02B-C026-4E5F-90F7-22E09CA25279}">
          <x14:formula1>
            <xm:f>Valores!$E$2:$E$3</xm:f>
          </x14:formula1>
          <xm:sqref>B6 E13:E14 J24 J31:J32 D31:D32 D24:D27 I18:I19</xm:sqref>
        </x14:dataValidation>
        <x14:dataValidation type="list" allowBlank="1" showInputMessage="1" showErrorMessage="1" xr:uid="{2349DD6E-672C-494D-8BCB-00ABFF50FB96}">
          <x14:formula1>
            <xm:f>Valores!$D$2:$D$3</xm:f>
          </x14:formula1>
          <xm:sqref>B5</xm:sqref>
        </x14:dataValidation>
        <x14:dataValidation type="list" allowBlank="1" showInputMessage="1" showErrorMessage="1" xr:uid="{E6D6404C-89ED-4AFF-AF85-7007158C6C1D}">
          <x14:formula1>
            <xm:f>Valores!$C$2:$C$7</xm:f>
          </x14:formula1>
          <xm:sqref>B9</xm:sqref>
        </x14:dataValidation>
        <x14:dataValidation type="list" allowBlank="1" showInputMessage="1" showErrorMessage="1" xr:uid="{204225C9-34D4-4F0D-9997-F0F55DAB3644}">
          <x14:formula1>
            <xm:f>Valores!$B$2:$B$3</xm:f>
          </x14:formula1>
          <xm:sqref>A9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78D2-395D-41F0-B0E9-801CE72CC240}">
  <dimension ref="A1:N32"/>
  <sheetViews>
    <sheetView zoomScale="55" zoomScaleNormal="55" workbookViewId="0">
      <pane ySplit="1" topLeftCell="B2" activePane="bottomLeft" state="frozen"/>
      <selection pane="bottomLeft" activeCell="D25" sqref="D25"/>
    </sheetView>
  </sheetViews>
  <sheetFormatPr defaultColWidth="19.7109375" defaultRowHeight="15"/>
  <cols>
    <col min="1" max="1" width="28.7109375" style="1" customWidth="1"/>
    <col min="2" max="2" width="27.140625" style="1" customWidth="1"/>
    <col min="3" max="3" width="27.140625" style="1" bestFit="1" customWidth="1"/>
    <col min="4" max="4" width="77.7109375" style="1" customWidth="1"/>
    <col min="5" max="5" width="87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9.710937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Clases!A6</f>
        <v>Rol</v>
      </c>
      <c r="C2" s="77"/>
      <c r="D2" s="77"/>
      <c r="E2" s="78"/>
    </row>
    <row r="3" spans="1:14">
      <c r="A3" s="17" t="str">
        <f>Clases!$B$1</f>
        <v>Estereotipo</v>
      </c>
      <c r="B3" s="64" t="str">
        <f>Clases!B6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Clases!C6</f>
        <v>Clase que representa el rol que puede tener un usuario dentro del sistema, definiendo sus permisos y nivel de acceso.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6" t="s">
        <v>56</v>
      </c>
      <c r="B9" s="64" t="s">
        <v>55</v>
      </c>
      <c r="C9" s="64"/>
      <c r="D9" s="64"/>
      <c r="E9" s="35" t="s">
        <v>15</v>
      </c>
    </row>
    <row r="10" spans="1:14">
      <c r="A10" s="66" t="s">
        <v>57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1:14">
      <c r="A11" s="73" t="s">
        <v>58</v>
      </c>
      <c r="B11" s="71" t="s">
        <v>59</v>
      </c>
      <c r="C11" s="71" t="s">
        <v>60</v>
      </c>
      <c r="D11" s="71"/>
      <c r="E11" s="71" t="s">
        <v>61</v>
      </c>
      <c r="F11" s="71" t="s">
        <v>62</v>
      </c>
      <c r="G11" s="71" t="s">
        <v>63</v>
      </c>
      <c r="H11" s="71"/>
      <c r="I11" s="71"/>
      <c r="J11" s="71" t="s">
        <v>64</v>
      </c>
      <c r="K11" s="71"/>
      <c r="L11" s="71"/>
      <c r="M11" s="71"/>
      <c r="N11" s="72"/>
    </row>
    <row r="12" spans="1:14">
      <c r="A12" s="73"/>
      <c r="B12" s="71"/>
      <c r="C12" s="10" t="s">
        <v>60</v>
      </c>
      <c r="D12" s="10" t="s">
        <v>65</v>
      </c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4">
      <c r="A13" s="6" t="s">
        <v>66</v>
      </c>
      <c r="B13" s="3" t="s">
        <v>133</v>
      </c>
      <c r="C13" s="3" t="s">
        <v>68</v>
      </c>
      <c r="D13" s="3"/>
      <c r="E13" s="3" t="s">
        <v>49</v>
      </c>
      <c r="F13" s="3" t="s">
        <v>69</v>
      </c>
      <c r="G13" s="64"/>
      <c r="H13" s="64"/>
      <c r="I13" s="64"/>
      <c r="J13" s="64" t="s">
        <v>165</v>
      </c>
      <c r="K13" s="64"/>
      <c r="L13" s="64"/>
      <c r="M13" s="64"/>
      <c r="N13" s="65"/>
    </row>
    <row r="14" spans="1:14">
      <c r="A14" s="6" t="s">
        <v>66</v>
      </c>
      <c r="B14" s="3" t="s">
        <v>71</v>
      </c>
      <c r="C14" s="3" t="s">
        <v>72</v>
      </c>
      <c r="D14" s="3"/>
      <c r="E14" s="3" t="s">
        <v>49</v>
      </c>
      <c r="F14" s="3" t="s">
        <v>69</v>
      </c>
      <c r="G14" s="64"/>
      <c r="H14" s="64"/>
      <c r="I14" s="64"/>
      <c r="J14" s="64" t="s">
        <v>166</v>
      </c>
      <c r="K14" s="64"/>
      <c r="L14" s="64"/>
      <c r="M14" s="64"/>
      <c r="N14" s="65"/>
    </row>
    <row r="15" spans="1:14">
      <c r="A15" s="81" t="s">
        <v>85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3"/>
    </row>
    <row r="16" spans="1:14">
      <c r="A16" s="84" t="s">
        <v>58</v>
      </c>
      <c r="B16" s="79" t="s">
        <v>59</v>
      </c>
      <c r="C16" s="79" t="s">
        <v>86</v>
      </c>
      <c r="D16" s="79" t="s">
        <v>87</v>
      </c>
      <c r="E16" s="79" t="s">
        <v>88</v>
      </c>
      <c r="F16" s="79"/>
      <c r="G16" s="79"/>
      <c r="H16" s="79"/>
      <c r="I16" s="79"/>
      <c r="J16" s="79"/>
      <c r="K16" s="79"/>
      <c r="L16" s="79"/>
      <c r="M16" s="79" t="s">
        <v>89</v>
      </c>
      <c r="N16" s="80"/>
    </row>
    <row r="17" spans="1:14">
      <c r="A17" s="84"/>
      <c r="B17" s="79"/>
      <c r="C17" s="79"/>
      <c r="D17" s="79"/>
      <c r="E17" s="11" t="s">
        <v>59</v>
      </c>
      <c r="F17" s="11" t="s">
        <v>60</v>
      </c>
      <c r="G17" s="11" t="s">
        <v>65</v>
      </c>
      <c r="H17" s="11" t="s">
        <v>90</v>
      </c>
      <c r="I17" s="11" t="s">
        <v>61</v>
      </c>
      <c r="J17" s="79" t="s">
        <v>87</v>
      </c>
      <c r="K17" s="79"/>
      <c r="L17" s="79"/>
      <c r="M17" s="79"/>
      <c r="N17" s="80"/>
    </row>
    <row r="18" spans="1:14">
      <c r="A18" s="6" t="s">
        <v>91</v>
      </c>
      <c r="B18" s="3" t="str">
        <f>B2</f>
        <v>Rol</v>
      </c>
      <c r="C18" s="3" t="s">
        <v>92</v>
      </c>
      <c r="D18" s="3" t="s">
        <v>167</v>
      </c>
      <c r="E18" s="3"/>
      <c r="F18" s="3"/>
      <c r="G18" s="3"/>
      <c r="H18" s="3"/>
      <c r="I18" s="3"/>
      <c r="J18" s="45"/>
      <c r="K18" s="48"/>
      <c r="L18" s="49"/>
      <c r="M18" s="45"/>
      <c r="N18" s="46"/>
    </row>
    <row r="19" spans="1:14">
      <c r="A19" s="87" t="s">
        <v>91</v>
      </c>
      <c r="B19" s="70" t="str">
        <f>B2</f>
        <v>Rol</v>
      </c>
      <c r="C19" s="43" t="s">
        <v>97</v>
      </c>
      <c r="D19" s="43" t="s">
        <v>168</v>
      </c>
      <c r="E19" s="3" t="s">
        <v>133</v>
      </c>
      <c r="F19" s="3" t="s">
        <v>68</v>
      </c>
      <c r="G19" s="3"/>
      <c r="H19" s="3" t="s">
        <v>94</v>
      </c>
      <c r="I19" s="3" t="s">
        <v>49</v>
      </c>
      <c r="J19" s="45" t="s">
        <v>169</v>
      </c>
      <c r="K19" s="48"/>
      <c r="L19" s="49"/>
      <c r="M19" s="45"/>
      <c r="N19" s="46"/>
    </row>
    <row r="20" spans="1:14">
      <c r="A20" s="88"/>
      <c r="B20" s="86"/>
      <c r="C20" s="44"/>
      <c r="D20" s="44"/>
      <c r="E20" s="3" t="s">
        <v>71</v>
      </c>
      <c r="F20" s="3" t="s">
        <v>72</v>
      </c>
      <c r="G20" s="3"/>
      <c r="H20" s="3" t="s">
        <v>94</v>
      </c>
      <c r="I20" s="3" t="s">
        <v>49</v>
      </c>
      <c r="J20" s="28" t="s">
        <v>170</v>
      </c>
      <c r="K20" s="29"/>
      <c r="L20" s="30"/>
      <c r="M20" s="28"/>
      <c r="N20" s="31"/>
    </row>
    <row r="21" spans="1:14">
      <c r="A21" s="58" t="s">
        <v>101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1:14">
      <c r="A22" s="63" t="s">
        <v>58</v>
      </c>
      <c r="B22" s="47" t="s">
        <v>59</v>
      </c>
      <c r="C22" s="47" t="s">
        <v>102</v>
      </c>
      <c r="D22" s="47" t="s">
        <v>103</v>
      </c>
      <c r="E22" s="47" t="s">
        <v>87</v>
      </c>
      <c r="F22" s="47" t="s">
        <v>88</v>
      </c>
      <c r="G22" s="47"/>
      <c r="H22" s="47"/>
      <c r="I22" s="47"/>
      <c r="J22" s="47"/>
      <c r="K22" s="47"/>
      <c r="L22" s="47" t="s">
        <v>104</v>
      </c>
      <c r="M22" s="47"/>
      <c r="N22" s="61" t="s">
        <v>89</v>
      </c>
    </row>
    <row r="23" spans="1:14">
      <c r="A23" s="63"/>
      <c r="B23" s="47"/>
      <c r="C23" s="47"/>
      <c r="D23" s="47"/>
      <c r="E23" s="47"/>
      <c r="F23" s="12" t="s">
        <v>59</v>
      </c>
      <c r="G23" s="12" t="s">
        <v>60</v>
      </c>
      <c r="H23" s="12" t="s">
        <v>65</v>
      </c>
      <c r="I23" s="12" t="s">
        <v>90</v>
      </c>
      <c r="J23" s="12" t="s">
        <v>61</v>
      </c>
      <c r="K23" s="12" t="s">
        <v>87</v>
      </c>
      <c r="L23" s="12" t="s">
        <v>60</v>
      </c>
      <c r="M23" s="12" t="s">
        <v>65</v>
      </c>
      <c r="N23" s="61"/>
    </row>
    <row r="24" spans="1:14">
      <c r="A24" s="6" t="s">
        <v>91</v>
      </c>
      <c r="B24" s="3" t="s">
        <v>140</v>
      </c>
      <c r="C24" s="3" t="s">
        <v>106</v>
      </c>
      <c r="D24" s="3" t="s">
        <v>49</v>
      </c>
      <c r="E24" s="3" t="s">
        <v>141</v>
      </c>
      <c r="F24" s="43" t="s">
        <v>133</v>
      </c>
      <c r="G24" s="43" t="s">
        <v>68</v>
      </c>
      <c r="H24" s="3"/>
      <c r="I24" s="43" t="s">
        <v>94</v>
      </c>
      <c r="J24" s="43" t="s">
        <v>49</v>
      </c>
      <c r="K24" s="43" t="s">
        <v>151</v>
      </c>
      <c r="L24" s="3" t="s">
        <v>68</v>
      </c>
      <c r="M24" s="3"/>
      <c r="N24" s="7"/>
    </row>
    <row r="25" spans="1:14">
      <c r="A25" s="6" t="s">
        <v>91</v>
      </c>
      <c r="B25" s="3" t="s">
        <v>162</v>
      </c>
      <c r="C25" s="3" t="s">
        <v>112</v>
      </c>
      <c r="D25" s="3" t="s">
        <v>49</v>
      </c>
      <c r="E25" s="3" t="s">
        <v>163</v>
      </c>
      <c r="F25" s="44"/>
      <c r="G25" s="44"/>
      <c r="H25" s="3"/>
      <c r="I25" s="85"/>
      <c r="J25" s="85"/>
      <c r="K25" s="44"/>
      <c r="L25" s="3"/>
      <c r="M25" s="3"/>
      <c r="N25" s="7"/>
    </row>
    <row r="26" spans="1:14">
      <c r="A26" s="6" t="s">
        <v>91</v>
      </c>
      <c r="B26" s="3" t="s">
        <v>108</v>
      </c>
      <c r="C26" s="3" t="s">
        <v>106</v>
      </c>
      <c r="D26" s="3" t="s">
        <v>49</v>
      </c>
      <c r="E26" s="3" t="s">
        <v>142</v>
      </c>
      <c r="F26" s="43" t="s">
        <v>71</v>
      </c>
      <c r="G26" s="43" t="s">
        <v>72</v>
      </c>
      <c r="H26" s="3"/>
      <c r="I26" s="85"/>
      <c r="J26" s="85"/>
      <c r="K26" s="43" t="s">
        <v>152</v>
      </c>
      <c r="L26" s="3" t="s">
        <v>72</v>
      </c>
      <c r="M26" s="3"/>
      <c r="N26" s="7"/>
    </row>
    <row r="27" spans="1:14">
      <c r="A27" s="6" t="s">
        <v>91</v>
      </c>
      <c r="B27" s="3" t="s">
        <v>111</v>
      </c>
      <c r="C27" s="3" t="s">
        <v>112</v>
      </c>
      <c r="D27" s="3" t="s">
        <v>49</v>
      </c>
      <c r="E27" s="3" t="s">
        <v>143</v>
      </c>
      <c r="F27" s="44"/>
      <c r="G27" s="44"/>
      <c r="H27" s="3"/>
      <c r="I27" s="44"/>
      <c r="J27" s="44"/>
      <c r="K27" s="44"/>
      <c r="L27" s="3"/>
      <c r="M27" s="3"/>
      <c r="N27" s="7"/>
    </row>
    <row r="28" spans="1:14">
      <c r="A28" s="54" t="s">
        <v>118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6"/>
    </row>
    <row r="29" spans="1:14">
      <c r="A29" s="62" t="s">
        <v>58</v>
      </c>
      <c r="B29" s="53" t="s">
        <v>59</v>
      </c>
      <c r="C29" s="53" t="s">
        <v>119</v>
      </c>
      <c r="D29" s="53" t="s">
        <v>103</v>
      </c>
      <c r="E29" s="53" t="s">
        <v>87</v>
      </c>
      <c r="F29" s="53" t="s">
        <v>88</v>
      </c>
      <c r="G29" s="53"/>
      <c r="H29" s="53"/>
      <c r="I29" s="53"/>
      <c r="J29" s="53"/>
      <c r="K29" s="53"/>
      <c r="L29" s="53" t="s">
        <v>104</v>
      </c>
      <c r="M29" s="53"/>
      <c r="N29" s="57" t="s">
        <v>89</v>
      </c>
    </row>
    <row r="30" spans="1:14">
      <c r="A30" s="62"/>
      <c r="B30" s="53"/>
      <c r="C30" s="53"/>
      <c r="D30" s="53"/>
      <c r="E30" s="53"/>
      <c r="F30" s="13" t="s">
        <v>59</v>
      </c>
      <c r="G30" s="13" t="s">
        <v>60</v>
      </c>
      <c r="H30" s="13" t="s">
        <v>65</v>
      </c>
      <c r="I30" s="13" t="s">
        <v>90</v>
      </c>
      <c r="J30" s="13" t="s">
        <v>61</v>
      </c>
      <c r="K30" s="13" t="s">
        <v>87</v>
      </c>
      <c r="L30" s="13" t="s">
        <v>60</v>
      </c>
      <c r="M30" s="13" t="s">
        <v>65</v>
      </c>
      <c r="N30" s="57"/>
    </row>
    <row r="31" spans="1:14">
      <c r="A31" s="6" t="s">
        <v>91</v>
      </c>
      <c r="B31" s="3" t="s">
        <v>122</v>
      </c>
      <c r="C31" s="3" t="s">
        <v>69</v>
      </c>
      <c r="D31" s="3" t="s">
        <v>49</v>
      </c>
      <c r="E31" s="3" t="s">
        <v>171</v>
      </c>
      <c r="F31" s="3"/>
      <c r="G31" s="3"/>
      <c r="H31" s="3"/>
      <c r="I31" s="3"/>
      <c r="J31" s="3"/>
      <c r="K31" s="3"/>
      <c r="L31" s="3" t="s">
        <v>72</v>
      </c>
      <c r="M31" s="3"/>
      <c r="N31" s="7"/>
    </row>
    <row r="32" spans="1:14">
      <c r="A32" s="1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8"/>
    </row>
  </sheetData>
  <mergeCells count="63">
    <mergeCell ref="B6:E6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A15:N15"/>
    <mergeCell ref="A16:A17"/>
    <mergeCell ref="B16:B17"/>
    <mergeCell ref="C16:C17"/>
    <mergeCell ref="D16:D17"/>
    <mergeCell ref="E16:L16"/>
    <mergeCell ref="G13:I13"/>
    <mergeCell ref="J13:N13"/>
    <mergeCell ref="G14:I14"/>
    <mergeCell ref="J14:N14"/>
    <mergeCell ref="N29:N30"/>
    <mergeCell ref="A21:N21"/>
    <mergeCell ref="F26:F27"/>
    <mergeCell ref="F24:F25"/>
    <mergeCell ref="G24:G25"/>
    <mergeCell ref="G26:G27"/>
    <mergeCell ref="F22:K22"/>
    <mergeCell ref="C22:C23"/>
    <mergeCell ref="D22:D23"/>
    <mergeCell ref="E22:E23"/>
    <mergeCell ref="L22:M22"/>
    <mergeCell ref="N22:N23"/>
    <mergeCell ref="A19:A20"/>
    <mergeCell ref="B19:B20"/>
    <mergeCell ref="M16:N17"/>
    <mergeCell ref="J17:L17"/>
    <mergeCell ref="J18:L18"/>
    <mergeCell ref="M18:N18"/>
    <mergeCell ref="J19:L19"/>
    <mergeCell ref="M19:N19"/>
    <mergeCell ref="C19:C20"/>
    <mergeCell ref="D19:D20"/>
    <mergeCell ref="A22:A23"/>
    <mergeCell ref="B22:B23"/>
    <mergeCell ref="A28:N28"/>
    <mergeCell ref="A29:A30"/>
    <mergeCell ref="B29:B30"/>
    <mergeCell ref="C29:C30"/>
    <mergeCell ref="I24:I27"/>
    <mergeCell ref="J24:J27"/>
    <mergeCell ref="K24:K25"/>
    <mergeCell ref="K26:K27"/>
    <mergeCell ref="L29:M29"/>
    <mergeCell ref="D29:D30"/>
    <mergeCell ref="E29:E30"/>
    <mergeCell ref="F29:K29"/>
  </mergeCells>
  <hyperlinks>
    <hyperlink ref="A1:E1" location="Clases!A1" display="&lt;-Volver al inicio" xr:uid="{43EC1E1F-5CF7-4874-886C-C120C0041215}"/>
    <hyperlink ref="E9" location="'Usuario'!B2" display="Usuario" xr:uid="{7C0631D6-4EF0-46EC-9150-152803C7C54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7185779-460F-4ACC-85E4-3D7F95C397E1}">
          <x14:formula1>
            <xm:f>Valores!$B$2:$B$3</xm:f>
          </x14:formula1>
          <xm:sqref>A9</xm:sqref>
        </x14:dataValidation>
        <x14:dataValidation type="list" allowBlank="1" showInputMessage="1" showErrorMessage="1" xr:uid="{95D27217-4B78-496A-9DEC-DF71C75C982D}">
          <x14:formula1>
            <xm:f>Valores!$C$2:$C$7</xm:f>
          </x14:formula1>
          <xm:sqref>B9</xm:sqref>
        </x14:dataValidation>
        <x14:dataValidation type="list" allowBlank="1" showInputMessage="1" showErrorMessage="1" xr:uid="{BBC01354-3A10-4C9C-B5FD-4413BC3A9ED8}">
          <x14:formula1>
            <xm:f>Valores!$D$2:$D$3</xm:f>
          </x14:formula1>
          <xm:sqref>B5</xm:sqref>
        </x14:dataValidation>
        <x14:dataValidation type="list" allowBlank="1" showInputMessage="1" showErrorMessage="1" xr:uid="{13E812D2-07A4-464B-B149-63DA71358E75}">
          <x14:formula1>
            <xm:f>Valores!$E$2:$E$3</xm:f>
          </x14:formula1>
          <xm:sqref>B6 E13:E14 D31:D32 J31:J32 I18:I20 D24:D27 J24</xm:sqref>
        </x14:dataValidation>
        <x14:dataValidation type="list" allowBlank="1" showInputMessage="1" showErrorMessage="1" xr:uid="{6C95A275-BC7D-43A4-B3B7-D158372D49C2}">
          <x14:formula1>
            <xm:f>Clases!$A$2:$A$13</xm:f>
          </x14:formula1>
          <xm:sqref>E9</xm:sqref>
        </x14:dataValidation>
        <x14:dataValidation type="list" allowBlank="1" showInputMessage="1" showErrorMessage="1" xr:uid="{26BE58F2-C368-4D2B-8653-A1C2C1BDE71E}">
          <x14:formula1>
            <xm:f>Valores!$F$2:$F$5</xm:f>
          </x14:formula1>
          <xm:sqref>A13:A14 A31:A32 A18:A19 A24:A27</xm:sqref>
        </x14:dataValidation>
        <x14:dataValidation type="list" allowBlank="1" showInputMessage="1" showErrorMessage="1" xr:uid="{927B36EB-4ED0-4AAE-919F-E30086F99EAB}">
          <x14:formula1>
            <xm:f>Valores!$G$2:$G$12</xm:f>
          </x14:formula1>
          <xm:sqref>C13:C14 F18:F20 L32 G31:G32 L24:L27 G24 G26</xm:sqref>
        </x14:dataValidation>
        <x14:dataValidation type="list" allowBlank="1" showInputMessage="1" showErrorMessage="1" xr:uid="{D9BE3099-D57D-43EE-8CAF-DB2CB94F84ED}">
          <x14:formula1>
            <xm:f>Valores!$H$2:$H$3</xm:f>
          </x14:formula1>
          <xm:sqref>F13:F14 C31:C32</xm:sqref>
        </x14:dataValidation>
        <x14:dataValidation type="list" allowBlank="1" showInputMessage="1" showErrorMessage="1" xr:uid="{E3C507BF-1AD2-48EA-A63D-C3647E15D090}">
          <x14:formula1>
            <xm:f>Valores!$I$2:$I$3</xm:f>
          </x14:formula1>
          <xm:sqref>C18:C19</xm:sqref>
        </x14:dataValidation>
        <x14:dataValidation type="list" allowBlank="1" showInputMessage="1" showErrorMessage="1" xr:uid="{126262E3-8FAA-43A0-9ABB-7DC277AA2976}">
          <x14:formula1>
            <xm:f>Valores!$J$2:$J$3</xm:f>
          </x14:formula1>
          <xm:sqref>I31:I32 H18:H20 I24</xm:sqref>
        </x14:dataValidation>
        <x14:dataValidation type="list" allowBlank="1" showInputMessage="1" showErrorMessage="1" xr:uid="{FA23294E-E8A3-4D03-9539-FEF2E64463A8}">
          <x14:formula1>
            <xm:f>Valores!$K$2:$K$3</xm:f>
          </x14:formula1>
          <xm:sqref>C24:C27</xm:sqref>
        </x14:dataValidation>
        <x14:dataValidation type="list" allowBlank="1" showInputMessage="1" showErrorMessage="1" xr:uid="{87BAAE31-E1B0-40DA-BC56-2543F20C75FE}">
          <x14:formula1>
            <xm:f>Valores!$L$2:$L$13</xm:f>
          </x14:formula1>
          <xm:sqref>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61B9A-0FA7-460D-AEA8-974846A51CB0}">
  <dimension ref="A1:L13"/>
  <sheetViews>
    <sheetView topLeftCell="B1" workbookViewId="0">
      <selection activeCell="L3" sqref="L3"/>
    </sheetView>
  </sheetViews>
  <sheetFormatPr defaultColWidth="11.42578125" defaultRowHeight="15"/>
  <cols>
    <col min="1" max="1" width="14.140625" bestFit="1" customWidth="1"/>
    <col min="2" max="2" width="12.42578125" bestFit="1" customWidth="1"/>
    <col min="3" max="3" width="13.28515625" bestFit="1" customWidth="1"/>
    <col min="4" max="4" width="31.7109375" bestFit="1" customWidth="1"/>
    <col min="5" max="5" width="14.28515625" bestFit="1" customWidth="1"/>
    <col min="6" max="6" width="31.7109375" bestFit="1" customWidth="1"/>
    <col min="7" max="7" width="16.5703125" bestFit="1" customWidth="1"/>
    <col min="9" max="9" width="15.28515625" bestFit="1" customWidth="1"/>
    <col min="12" max="12" width="16.5703125" bestFit="1" customWidth="1"/>
  </cols>
  <sheetData>
    <row r="1" spans="1:12">
      <c r="A1" t="s">
        <v>2</v>
      </c>
      <c r="B1" t="s">
        <v>51</v>
      </c>
      <c r="C1" t="s">
        <v>52</v>
      </c>
      <c r="D1" t="s">
        <v>172</v>
      </c>
      <c r="E1" t="s">
        <v>173</v>
      </c>
      <c r="F1" t="s">
        <v>172</v>
      </c>
      <c r="G1" t="s">
        <v>60</v>
      </c>
      <c r="H1" t="s">
        <v>174</v>
      </c>
      <c r="I1" t="s">
        <v>86</v>
      </c>
      <c r="J1" t="s">
        <v>90</v>
      </c>
      <c r="K1" t="s">
        <v>102</v>
      </c>
      <c r="L1" t="s">
        <v>175</v>
      </c>
    </row>
    <row r="2" spans="1:12">
      <c r="A2" t="s">
        <v>5</v>
      </c>
      <c r="B2" t="s">
        <v>54</v>
      </c>
      <c r="C2" t="s">
        <v>55</v>
      </c>
      <c r="D2" t="s">
        <v>91</v>
      </c>
      <c r="E2" t="s">
        <v>176</v>
      </c>
      <c r="F2" t="s">
        <v>66</v>
      </c>
      <c r="G2" t="s">
        <v>177</v>
      </c>
      <c r="H2" t="s">
        <v>178</v>
      </c>
      <c r="I2" t="s">
        <v>92</v>
      </c>
      <c r="J2" t="s">
        <v>94</v>
      </c>
      <c r="K2" t="s">
        <v>106</v>
      </c>
      <c r="L2" t="s">
        <v>179</v>
      </c>
    </row>
    <row r="3" spans="1:12">
      <c r="A3" t="s">
        <v>180</v>
      </c>
      <c r="B3" t="s">
        <v>56</v>
      </c>
      <c r="C3" t="s">
        <v>181</v>
      </c>
      <c r="D3" t="s">
        <v>47</v>
      </c>
      <c r="E3" t="s">
        <v>49</v>
      </c>
      <c r="F3" t="s">
        <v>182</v>
      </c>
      <c r="G3" t="s">
        <v>110</v>
      </c>
      <c r="H3" t="s">
        <v>69</v>
      </c>
      <c r="I3" t="s">
        <v>97</v>
      </c>
      <c r="J3" t="s">
        <v>183</v>
      </c>
      <c r="K3" t="s">
        <v>112</v>
      </c>
      <c r="L3" t="s">
        <v>177</v>
      </c>
    </row>
    <row r="4" spans="1:12">
      <c r="A4" t="s">
        <v>184</v>
      </c>
      <c r="C4" t="s">
        <v>185</v>
      </c>
      <c r="F4" t="s">
        <v>47</v>
      </c>
      <c r="G4" t="s">
        <v>186</v>
      </c>
      <c r="L4" t="s">
        <v>110</v>
      </c>
    </row>
    <row r="5" spans="1:12">
      <c r="A5" t="s">
        <v>187</v>
      </c>
      <c r="C5" t="s">
        <v>188</v>
      </c>
      <c r="F5" t="s">
        <v>91</v>
      </c>
      <c r="G5" t="s">
        <v>68</v>
      </c>
      <c r="L5" t="s">
        <v>186</v>
      </c>
    </row>
    <row r="6" spans="1:12">
      <c r="A6" t="s">
        <v>189</v>
      </c>
      <c r="C6" t="s">
        <v>190</v>
      </c>
      <c r="G6" t="s">
        <v>191</v>
      </c>
      <c r="L6" t="s">
        <v>68</v>
      </c>
    </row>
    <row r="7" spans="1:12">
      <c r="C7" t="s">
        <v>192</v>
      </c>
      <c r="G7" t="s">
        <v>193</v>
      </c>
      <c r="L7" t="s">
        <v>191</v>
      </c>
    </row>
    <row r="8" spans="1:12">
      <c r="G8" t="s">
        <v>194</v>
      </c>
      <c r="L8" t="s">
        <v>193</v>
      </c>
    </row>
    <row r="9" spans="1:12">
      <c r="G9" t="s">
        <v>195</v>
      </c>
      <c r="L9" t="s">
        <v>194</v>
      </c>
    </row>
    <row r="10" spans="1:12">
      <c r="G10" t="s">
        <v>72</v>
      </c>
      <c r="L10" t="s">
        <v>195</v>
      </c>
    </row>
    <row r="11" spans="1:12">
      <c r="G11" t="s">
        <v>196</v>
      </c>
      <c r="L11" t="s">
        <v>72</v>
      </c>
    </row>
    <row r="12" spans="1:12">
      <c r="G12" t="s">
        <v>75</v>
      </c>
      <c r="L12" t="s">
        <v>196</v>
      </c>
    </row>
    <row r="13" spans="1:12">
      <c r="L13" t="s">
        <v>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CD885-4AFC-4D38-A0DA-275E2FAD0E04}">
  <dimension ref="A1:N50"/>
  <sheetViews>
    <sheetView zoomScale="55" zoomScaleNormal="55" workbookViewId="0">
      <pane ySplit="1" topLeftCell="A29" activePane="bottomLeft" state="frozen"/>
      <selection pane="bottomLeft" activeCell="A53" sqref="A53"/>
    </sheetView>
  </sheetViews>
  <sheetFormatPr defaultColWidth="19.7109375" defaultRowHeight="15"/>
  <cols>
    <col min="1" max="1" width="28.7109375" style="1" customWidth="1"/>
    <col min="2" max="2" width="20.7109375" style="1" customWidth="1"/>
    <col min="3" max="3" width="27.140625" style="1" bestFit="1" customWidth="1"/>
    <col min="4" max="4" width="75.57031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0.4257812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 ht="15.75" thickBot="1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Clases!A7</f>
        <v>Usuario</v>
      </c>
      <c r="C2" s="77"/>
      <c r="D2" s="77"/>
      <c r="E2" s="78"/>
    </row>
    <row r="3" spans="1:14">
      <c r="A3" s="17" t="str">
        <f>Clases!$B$1</f>
        <v>Estereotipo</v>
      </c>
      <c r="B3" s="64" t="str">
        <f>Clases!B7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Clases!C7</f>
        <v>Clase que representa un usuario del sistema con su información personal, credenciales de acceso y relaciones con rol y estado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56</v>
      </c>
      <c r="B9" s="43" t="s">
        <v>55</v>
      </c>
      <c r="C9" s="43"/>
      <c r="D9" s="43"/>
      <c r="E9" s="36" t="s">
        <v>13</v>
      </c>
    </row>
    <row r="10" spans="1:14">
      <c r="A10" s="32" t="s">
        <v>56</v>
      </c>
      <c r="B10" s="94" t="s">
        <v>55</v>
      </c>
      <c r="C10" s="95"/>
      <c r="D10" s="96"/>
      <c r="E10" s="37" t="s">
        <v>11</v>
      </c>
    </row>
    <row r="11" spans="1:14">
      <c r="A11" s="32" t="s">
        <v>56</v>
      </c>
      <c r="B11" s="97" t="s">
        <v>55</v>
      </c>
      <c r="C11" s="98"/>
      <c r="D11" s="99"/>
      <c r="E11" s="37" t="s">
        <v>23</v>
      </c>
    </row>
    <row r="12" spans="1:14">
      <c r="A12" s="66" t="s">
        <v>57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8"/>
    </row>
    <row r="13" spans="1:14">
      <c r="A13" s="73" t="s">
        <v>58</v>
      </c>
      <c r="B13" s="71" t="s">
        <v>59</v>
      </c>
      <c r="C13" s="71" t="s">
        <v>60</v>
      </c>
      <c r="D13" s="71"/>
      <c r="E13" s="71" t="s">
        <v>61</v>
      </c>
      <c r="F13" s="71" t="s">
        <v>62</v>
      </c>
      <c r="G13" s="71" t="s">
        <v>63</v>
      </c>
      <c r="H13" s="71"/>
      <c r="I13" s="71"/>
      <c r="J13" s="71" t="s">
        <v>64</v>
      </c>
      <c r="K13" s="71"/>
      <c r="L13" s="71"/>
      <c r="M13" s="71"/>
      <c r="N13" s="72"/>
    </row>
    <row r="14" spans="1:14">
      <c r="A14" s="73"/>
      <c r="B14" s="71"/>
      <c r="C14" s="10" t="s">
        <v>60</v>
      </c>
      <c r="D14" s="10" t="s">
        <v>65</v>
      </c>
      <c r="E14" s="71"/>
      <c r="F14" s="71"/>
      <c r="G14" s="71"/>
      <c r="H14" s="71"/>
      <c r="I14" s="71"/>
      <c r="J14" s="71"/>
      <c r="K14" s="71"/>
      <c r="L14" s="71"/>
      <c r="M14" s="71"/>
      <c r="N14" s="72"/>
    </row>
    <row r="15" spans="1:14">
      <c r="A15" s="6" t="s">
        <v>66</v>
      </c>
      <c r="B15" s="3" t="s">
        <v>133</v>
      </c>
      <c r="C15" s="3" t="s">
        <v>68</v>
      </c>
      <c r="D15" s="3"/>
      <c r="E15" s="3" t="s">
        <v>49</v>
      </c>
      <c r="F15" s="3" t="s">
        <v>69</v>
      </c>
      <c r="G15" s="64"/>
      <c r="H15" s="64"/>
      <c r="I15" s="64"/>
      <c r="J15" s="64" t="s">
        <v>197</v>
      </c>
      <c r="K15" s="64"/>
      <c r="L15" s="64"/>
      <c r="M15" s="64"/>
      <c r="N15" s="65"/>
    </row>
    <row r="16" spans="1:14">
      <c r="A16" s="6" t="s">
        <v>66</v>
      </c>
      <c r="B16" s="3" t="s">
        <v>198</v>
      </c>
      <c r="C16" s="3" t="s">
        <v>72</v>
      </c>
      <c r="D16" s="3"/>
      <c r="E16" s="3" t="s">
        <v>49</v>
      </c>
      <c r="F16" s="3" t="s">
        <v>69</v>
      </c>
      <c r="G16" s="64"/>
      <c r="H16" s="64"/>
      <c r="I16" s="64"/>
      <c r="J16" s="64" t="s">
        <v>199</v>
      </c>
      <c r="K16" s="64"/>
      <c r="L16" s="64"/>
      <c r="M16" s="64"/>
      <c r="N16" s="65"/>
    </row>
    <row r="17" spans="1:14">
      <c r="A17" s="6" t="s">
        <v>66</v>
      </c>
      <c r="B17" s="3" t="s">
        <v>200</v>
      </c>
      <c r="C17" s="3" t="s">
        <v>72</v>
      </c>
      <c r="D17" s="3"/>
      <c r="E17" s="3" t="s">
        <v>49</v>
      </c>
      <c r="F17" s="3" t="s">
        <v>69</v>
      </c>
      <c r="G17" s="64"/>
      <c r="H17" s="64"/>
      <c r="I17" s="64"/>
      <c r="J17" s="64" t="s">
        <v>201</v>
      </c>
      <c r="K17" s="64"/>
      <c r="L17" s="64"/>
      <c r="M17" s="64"/>
      <c r="N17" s="65"/>
    </row>
    <row r="18" spans="1:14">
      <c r="A18" s="6" t="s">
        <v>66</v>
      </c>
      <c r="B18" s="3" t="s">
        <v>202</v>
      </c>
      <c r="C18" s="3" t="s">
        <v>75</v>
      </c>
      <c r="D18" s="3" t="s">
        <v>203</v>
      </c>
      <c r="E18" s="3" t="s">
        <v>49</v>
      </c>
      <c r="F18" s="3" t="s">
        <v>69</v>
      </c>
      <c r="G18" s="64"/>
      <c r="H18" s="64"/>
      <c r="I18" s="64"/>
      <c r="J18" s="64" t="s">
        <v>204</v>
      </c>
      <c r="K18" s="64"/>
      <c r="L18" s="64"/>
      <c r="M18" s="64"/>
      <c r="N18" s="65"/>
    </row>
    <row r="19" spans="1:14">
      <c r="A19" s="6" t="s">
        <v>66</v>
      </c>
      <c r="B19" s="3" t="s">
        <v>205</v>
      </c>
      <c r="C19" s="3" t="s">
        <v>75</v>
      </c>
      <c r="D19" s="3" t="s">
        <v>25</v>
      </c>
      <c r="E19" s="3" t="s">
        <v>49</v>
      </c>
      <c r="F19" s="3" t="s">
        <v>69</v>
      </c>
      <c r="G19" s="91"/>
      <c r="H19" s="92"/>
      <c r="I19" s="93"/>
      <c r="J19" s="45" t="s">
        <v>206</v>
      </c>
      <c r="K19" s="48"/>
      <c r="L19" s="48"/>
      <c r="M19" s="48"/>
      <c r="N19" s="46"/>
    </row>
    <row r="20" spans="1:14">
      <c r="A20" s="6" t="s">
        <v>66</v>
      </c>
      <c r="B20" s="3" t="s">
        <v>207</v>
      </c>
      <c r="C20" s="3" t="s">
        <v>195</v>
      </c>
      <c r="D20" s="3"/>
      <c r="E20" s="3" t="s">
        <v>49</v>
      </c>
      <c r="F20" s="3" t="s">
        <v>69</v>
      </c>
      <c r="G20" s="91"/>
      <c r="H20" s="92"/>
      <c r="I20" s="93"/>
      <c r="J20" s="45" t="s">
        <v>208</v>
      </c>
      <c r="K20" s="48"/>
      <c r="L20" s="48"/>
      <c r="M20" s="48"/>
      <c r="N20" s="46"/>
    </row>
    <row r="21" spans="1:14">
      <c r="A21" s="81" t="s">
        <v>85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3"/>
    </row>
    <row r="22" spans="1:14">
      <c r="A22" s="84" t="s">
        <v>58</v>
      </c>
      <c r="B22" s="79" t="s">
        <v>59</v>
      </c>
      <c r="C22" s="79" t="s">
        <v>86</v>
      </c>
      <c r="D22" s="79" t="s">
        <v>87</v>
      </c>
      <c r="E22" s="79" t="s">
        <v>88</v>
      </c>
      <c r="F22" s="79"/>
      <c r="G22" s="79"/>
      <c r="H22" s="79"/>
      <c r="I22" s="79"/>
      <c r="J22" s="79"/>
      <c r="K22" s="79"/>
      <c r="L22" s="79"/>
      <c r="M22" s="79" t="s">
        <v>89</v>
      </c>
      <c r="N22" s="80"/>
    </row>
    <row r="23" spans="1:14">
      <c r="A23" s="84"/>
      <c r="B23" s="79"/>
      <c r="C23" s="79"/>
      <c r="D23" s="79"/>
      <c r="E23" s="11" t="s">
        <v>59</v>
      </c>
      <c r="F23" s="11" t="s">
        <v>60</v>
      </c>
      <c r="G23" s="11" t="s">
        <v>65</v>
      </c>
      <c r="H23" s="11" t="s">
        <v>90</v>
      </c>
      <c r="I23" s="11" t="s">
        <v>61</v>
      </c>
      <c r="J23" s="79" t="s">
        <v>87</v>
      </c>
      <c r="K23" s="79"/>
      <c r="L23" s="79"/>
      <c r="M23" s="79"/>
      <c r="N23" s="80"/>
    </row>
    <row r="24" spans="1:14">
      <c r="A24" s="6" t="s">
        <v>91</v>
      </c>
      <c r="B24" s="3" t="str">
        <f>B2</f>
        <v>Usuario</v>
      </c>
      <c r="C24" s="3" t="s">
        <v>92</v>
      </c>
      <c r="D24" s="3" t="s">
        <v>209</v>
      </c>
      <c r="E24" s="3" t="s">
        <v>133</v>
      </c>
      <c r="F24" s="3" t="s">
        <v>68</v>
      </c>
      <c r="G24" s="3"/>
      <c r="H24" s="3" t="s">
        <v>94</v>
      </c>
      <c r="I24" s="3" t="s">
        <v>49</v>
      </c>
      <c r="J24" s="45" t="s">
        <v>210</v>
      </c>
      <c r="K24" s="48"/>
      <c r="L24" s="49"/>
      <c r="M24" s="45"/>
      <c r="N24" s="46"/>
    </row>
    <row r="25" spans="1:14">
      <c r="A25" s="6" t="s">
        <v>91</v>
      </c>
      <c r="B25" s="3" t="str">
        <f>B2</f>
        <v>Usuario</v>
      </c>
      <c r="C25" s="3" t="s">
        <v>97</v>
      </c>
      <c r="D25" s="3" t="s">
        <v>211</v>
      </c>
      <c r="E25" s="3" t="s">
        <v>198</v>
      </c>
      <c r="F25" s="3" t="s">
        <v>72</v>
      </c>
      <c r="G25" s="3"/>
      <c r="H25" s="3" t="s">
        <v>94</v>
      </c>
      <c r="I25" s="3" t="s">
        <v>49</v>
      </c>
      <c r="J25" s="45" t="s">
        <v>212</v>
      </c>
      <c r="K25" s="48"/>
      <c r="L25" s="49"/>
      <c r="M25" s="45"/>
      <c r="N25" s="46"/>
    </row>
    <row r="26" spans="1:14">
      <c r="A26" s="6"/>
      <c r="B26" s="3"/>
      <c r="C26" s="3"/>
      <c r="D26" s="3"/>
      <c r="E26" s="3" t="s">
        <v>200</v>
      </c>
      <c r="F26" s="3" t="s">
        <v>72</v>
      </c>
      <c r="G26" s="3"/>
      <c r="H26" s="3" t="s">
        <v>94</v>
      </c>
      <c r="I26" s="3" t="s">
        <v>49</v>
      </c>
      <c r="J26" s="45" t="s">
        <v>213</v>
      </c>
      <c r="K26" s="48"/>
      <c r="L26" s="49"/>
      <c r="M26" s="28"/>
      <c r="N26" s="31"/>
    </row>
    <row r="27" spans="1:14">
      <c r="A27" s="6"/>
      <c r="B27" s="3"/>
      <c r="C27" s="3"/>
      <c r="D27" s="3"/>
      <c r="E27" s="3" t="s">
        <v>202</v>
      </c>
      <c r="F27" s="3" t="s">
        <v>75</v>
      </c>
      <c r="G27" s="3" t="s">
        <v>203</v>
      </c>
      <c r="H27" s="3" t="s">
        <v>94</v>
      </c>
      <c r="I27" s="3" t="s">
        <v>49</v>
      </c>
      <c r="J27" s="45" t="s">
        <v>214</v>
      </c>
      <c r="K27" s="48"/>
      <c r="L27" s="49"/>
      <c r="M27" s="28"/>
      <c r="N27" s="31"/>
    </row>
    <row r="28" spans="1:14">
      <c r="A28" s="6"/>
      <c r="B28" s="3"/>
      <c r="C28" s="3"/>
      <c r="D28" s="3"/>
      <c r="E28" s="3" t="s">
        <v>205</v>
      </c>
      <c r="F28" s="3" t="s">
        <v>75</v>
      </c>
      <c r="G28" s="3" t="s">
        <v>25</v>
      </c>
      <c r="H28" s="3" t="s">
        <v>94</v>
      </c>
      <c r="I28" s="3" t="s">
        <v>49</v>
      </c>
      <c r="J28" s="45" t="s">
        <v>215</v>
      </c>
      <c r="K28" s="48"/>
      <c r="L28" s="49"/>
      <c r="M28" s="28"/>
      <c r="N28" s="31"/>
    </row>
    <row r="29" spans="1:14">
      <c r="A29" s="6"/>
      <c r="B29" s="3"/>
      <c r="C29" s="3"/>
      <c r="D29" s="3"/>
      <c r="E29" s="3" t="s">
        <v>207</v>
      </c>
      <c r="F29" s="3" t="s">
        <v>195</v>
      </c>
      <c r="G29" s="3"/>
      <c r="H29" s="3" t="s">
        <v>94</v>
      </c>
      <c r="I29" s="3" t="s">
        <v>49</v>
      </c>
      <c r="J29" s="45" t="s">
        <v>216</v>
      </c>
      <c r="K29" s="48"/>
      <c r="L29" s="49"/>
      <c r="M29" s="28"/>
      <c r="N29" s="31"/>
    </row>
    <row r="30" spans="1:14">
      <c r="A30" s="58" t="s">
        <v>101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60"/>
    </row>
    <row r="31" spans="1:14">
      <c r="A31" s="63" t="s">
        <v>58</v>
      </c>
      <c r="B31" s="47" t="s">
        <v>59</v>
      </c>
      <c r="C31" s="47" t="s">
        <v>102</v>
      </c>
      <c r="D31" s="47" t="s">
        <v>103</v>
      </c>
      <c r="E31" s="47" t="s">
        <v>87</v>
      </c>
      <c r="F31" s="47" t="s">
        <v>88</v>
      </c>
      <c r="G31" s="47"/>
      <c r="H31" s="47"/>
      <c r="I31" s="47"/>
      <c r="J31" s="47"/>
      <c r="K31" s="47"/>
      <c r="L31" s="47" t="s">
        <v>104</v>
      </c>
      <c r="M31" s="47"/>
      <c r="N31" s="61" t="s">
        <v>89</v>
      </c>
    </row>
    <row r="32" spans="1:14">
      <c r="A32" s="63"/>
      <c r="B32" s="47"/>
      <c r="C32" s="47"/>
      <c r="D32" s="47"/>
      <c r="E32" s="47"/>
      <c r="F32" s="12" t="s">
        <v>59</v>
      </c>
      <c r="G32" s="12" t="s">
        <v>60</v>
      </c>
      <c r="H32" s="12" t="s">
        <v>65</v>
      </c>
      <c r="I32" s="12" t="s">
        <v>90</v>
      </c>
      <c r="J32" s="12" t="s">
        <v>61</v>
      </c>
      <c r="K32" s="12" t="s">
        <v>87</v>
      </c>
      <c r="L32" s="12" t="s">
        <v>60</v>
      </c>
      <c r="M32" s="12" t="s">
        <v>65</v>
      </c>
      <c r="N32" s="61"/>
    </row>
    <row r="33" spans="1:14">
      <c r="A33" s="6" t="s">
        <v>91</v>
      </c>
      <c r="B33" s="3" t="s">
        <v>140</v>
      </c>
      <c r="C33" s="3" t="s">
        <v>106</v>
      </c>
      <c r="D33" s="3" t="s">
        <v>49</v>
      </c>
      <c r="E33" s="3" t="s">
        <v>141</v>
      </c>
      <c r="F33" s="89" t="s">
        <v>133</v>
      </c>
      <c r="G33" s="43" t="s">
        <v>68</v>
      </c>
      <c r="H33" s="3"/>
      <c r="I33" s="3" t="s">
        <v>94</v>
      </c>
      <c r="J33" s="43" t="s">
        <v>49</v>
      </c>
      <c r="K33" s="43" t="s">
        <v>151</v>
      </c>
      <c r="L33" s="3" t="s">
        <v>68</v>
      </c>
      <c r="M33" s="3"/>
      <c r="N33" s="7"/>
    </row>
    <row r="34" spans="1:14">
      <c r="A34" s="6" t="s">
        <v>91</v>
      </c>
      <c r="B34" s="3" t="s">
        <v>162</v>
      </c>
      <c r="C34" s="3" t="s">
        <v>112</v>
      </c>
      <c r="D34" s="3" t="s">
        <v>49</v>
      </c>
      <c r="E34" s="3" t="s">
        <v>163</v>
      </c>
      <c r="F34" s="90"/>
      <c r="G34" s="44"/>
      <c r="H34" s="3"/>
      <c r="I34" s="3" t="s">
        <v>94</v>
      </c>
      <c r="J34" s="85"/>
      <c r="K34" s="44"/>
      <c r="L34" s="3"/>
      <c r="M34" s="3"/>
      <c r="N34" s="7"/>
    </row>
    <row r="35" spans="1:14">
      <c r="A35" s="6" t="s">
        <v>91</v>
      </c>
      <c r="B35" s="3" t="s">
        <v>217</v>
      </c>
      <c r="C35" s="3" t="s">
        <v>106</v>
      </c>
      <c r="D35" s="3" t="s">
        <v>49</v>
      </c>
      <c r="E35" s="3" t="s">
        <v>218</v>
      </c>
      <c r="F35" s="43" t="s">
        <v>198</v>
      </c>
      <c r="G35" s="43" t="s">
        <v>72</v>
      </c>
      <c r="H35" s="3"/>
      <c r="I35" s="3" t="s">
        <v>94</v>
      </c>
      <c r="J35" s="85"/>
      <c r="K35" s="43" t="s">
        <v>219</v>
      </c>
      <c r="L35" s="3" t="s">
        <v>72</v>
      </c>
      <c r="M35" s="3"/>
      <c r="N35" s="7"/>
    </row>
    <row r="36" spans="1:14">
      <c r="A36" s="6" t="s">
        <v>91</v>
      </c>
      <c r="B36" s="3" t="s">
        <v>220</v>
      </c>
      <c r="C36" s="3" t="s">
        <v>112</v>
      </c>
      <c r="D36" s="3" t="s">
        <v>49</v>
      </c>
      <c r="E36" s="3" t="s">
        <v>221</v>
      </c>
      <c r="F36" s="44"/>
      <c r="G36" s="44"/>
      <c r="H36" s="3"/>
      <c r="I36" s="3" t="s">
        <v>94</v>
      </c>
      <c r="J36" s="85"/>
      <c r="K36" s="44"/>
      <c r="L36" s="3"/>
      <c r="M36" s="3"/>
      <c r="N36" s="7"/>
    </row>
    <row r="37" spans="1:14">
      <c r="A37" s="6" t="s">
        <v>91</v>
      </c>
      <c r="B37" s="3" t="s">
        <v>222</v>
      </c>
      <c r="C37" s="3" t="s">
        <v>106</v>
      </c>
      <c r="D37" s="3" t="s">
        <v>49</v>
      </c>
      <c r="E37" s="3" t="s">
        <v>223</v>
      </c>
      <c r="F37" s="43" t="s">
        <v>200</v>
      </c>
      <c r="G37" s="43" t="s">
        <v>72</v>
      </c>
      <c r="H37" s="3"/>
      <c r="I37" s="3" t="s">
        <v>94</v>
      </c>
      <c r="J37" s="85"/>
      <c r="K37" s="43" t="s">
        <v>224</v>
      </c>
      <c r="L37" s="3" t="s">
        <v>72</v>
      </c>
      <c r="M37" s="3"/>
      <c r="N37" s="7"/>
    </row>
    <row r="38" spans="1:14">
      <c r="A38" s="6" t="s">
        <v>91</v>
      </c>
      <c r="B38" s="3" t="s">
        <v>225</v>
      </c>
      <c r="C38" s="3" t="s">
        <v>112</v>
      </c>
      <c r="D38" s="3" t="s">
        <v>49</v>
      </c>
      <c r="E38" s="3" t="s">
        <v>226</v>
      </c>
      <c r="F38" s="44"/>
      <c r="G38" s="44"/>
      <c r="H38" s="3"/>
      <c r="I38" s="3" t="s">
        <v>94</v>
      </c>
      <c r="J38" s="85"/>
      <c r="K38" s="44"/>
      <c r="L38" s="3"/>
      <c r="M38" s="3"/>
      <c r="N38" s="7"/>
    </row>
    <row r="39" spans="1:14">
      <c r="A39" s="6" t="s">
        <v>91</v>
      </c>
      <c r="B39" s="3" t="s">
        <v>227</v>
      </c>
      <c r="C39" s="3" t="s">
        <v>106</v>
      </c>
      <c r="D39" s="3" t="s">
        <v>49</v>
      </c>
      <c r="E39" s="3" t="s">
        <v>228</v>
      </c>
      <c r="F39" s="43" t="s">
        <v>202</v>
      </c>
      <c r="G39" s="43" t="s">
        <v>75</v>
      </c>
      <c r="H39" s="3" t="s">
        <v>203</v>
      </c>
      <c r="I39" s="3" t="s">
        <v>94</v>
      </c>
      <c r="J39" s="85"/>
      <c r="K39" s="43" t="s">
        <v>229</v>
      </c>
      <c r="L39" s="3" t="s">
        <v>75</v>
      </c>
      <c r="M39" s="3" t="s">
        <v>203</v>
      </c>
      <c r="N39" s="7"/>
    </row>
    <row r="40" spans="1:14">
      <c r="A40" s="6" t="s">
        <v>91</v>
      </c>
      <c r="B40" s="3" t="s">
        <v>230</v>
      </c>
      <c r="C40" s="3" t="s">
        <v>112</v>
      </c>
      <c r="D40" s="3" t="s">
        <v>49</v>
      </c>
      <c r="E40" s="3" t="s">
        <v>231</v>
      </c>
      <c r="F40" s="44"/>
      <c r="G40" s="44"/>
      <c r="H40" s="3"/>
      <c r="I40" s="3" t="s">
        <v>94</v>
      </c>
      <c r="J40" s="85"/>
      <c r="K40" s="44"/>
      <c r="L40" s="3"/>
      <c r="M40" s="3"/>
      <c r="N40" s="7"/>
    </row>
    <row r="41" spans="1:14">
      <c r="A41" s="6" t="s">
        <v>91</v>
      </c>
      <c r="B41" s="3" t="s">
        <v>232</v>
      </c>
      <c r="C41" s="3" t="s">
        <v>106</v>
      </c>
      <c r="D41" s="3" t="s">
        <v>49</v>
      </c>
      <c r="E41" s="3" t="s">
        <v>233</v>
      </c>
      <c r="F41" s="43" t="s">
        <v>205</v>
      </c>
      <c r="G41" s="43" t="s">
        <v>75</v>
      </c>
      <c r="H41" s="3" t="s">
        <v>25</v>
      </c>
      <c r="I41" s="3" t="s">
        <v>94</v>
      </c>
      <c r="J41" s="85"/>
      <c r="K41" s="43" t="s">
        <v>234</v>
      </c>
      <c r="L41" s="3" t="s">
        <v>75</v>
      </c>
      <c r="M41" s="3" t="s">
        <v>25</v>
      </c>
      <c r="N41" s="7"/>
    </row>
    <row r="42" spans="1:14">
      <c r="A42" s="6" t="s">
        <v>91</v>
      </c>
      <c r="B42" s="3" t="s">
        <v>235</v>
      </c>
      <c r="C42" s="3" t="s">
        <v>112</v>
      </c>
      <c r="D42" s="3" t="s">
        <v>49</v>
      </c>
      <c r="E42" s="3" t="s">
        <v>236</v>
      </c>
      <c r="F42" s="44"/>
      <c r="G42" s="44"/>
      <c r="H42" s="3"/>
      <c r="I42" s="3" t="s">
        <v>94</v>
      </c>
      <c r="J42" s="85"/>
      <c r="K42" s="44"/>
      <c r="L42" s="3"/>
      <c r="M42" s="3"/>
      <c r="N42" s="7"/>
    </row>
    <row r="43" spans="1:14">
      <c r="A43" s="6" t="s">
        <v>91</v>
      </c>
      <c r="B43" s="3" t="s">
        <v>207</v>
      </c>
      <c r="C43" s="3" t="s">
        <v>106</v>
      </c>
      <c r="D43" s="3" t="s">
        <v>49</v>
      </c>
      <c r="E43" s="3" t="s">
        <v>237</v>
      </c>
      <c r="F43" s="43" t="s">
        <v>207</v>
      </c>
      <c r="G43" s="43" t="s">
        <v>195</v>
      </c>
      <c r="H43" s="3"/>
      <c r="I43" s="3" t="s">
        <v>94</v>
      </c>
      <c r="J43" s="85"/>
      <c r="K43" s="43" t="s">
        <v>238</v>
      </c>
      <c r="L43" s="3" t="s">
        <v>195</v>
      </c>
      <c r="M43" s="3"/>
      <c r="N43" s="7"/>
    </row>
    <row r="44" spans="1:14">
      <c r="A44" s="6" t="s">
        <v>91</v>
      </c>
      <c r="B44" s="3" t="s">
        <v>239</v>
      </c>
      <c r="C44" s="3" t="s">
        <v>112</v>
      </c>
      <c r="D44" s="3" t="s">
        <v>49</v>
      </c>
      <c r="E44" s="3" t="s">
        <v>240</v>
      </c>
      <c r="F44" s="44"/>
      <c r="G44" s="44"/>
      <c r="H44" s="3"/>
      <c r="I44" s="3" t="s">
        <v>94</v>
      </c>
      <c r="J44" s="44"/>
      <c r="K44" s="44"/>
      <c r="L44" s="3"/>
      <c r="M44" s="3"/>
      <c r="N44" s="7"/>
    </row>
    <row r="45" spans="1:14">
      <c r="A45" s="54" t="s">
        <v>118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6"/>
    </row>
    <row r="46" spans="1:14">
      <c r="A46" s="62" t="s">
        <v>58</v>
      </c>
      <c r="B46" s="53" t="s">
        <v>59</v>
      </c>
      <c r="C46" s="53" t="s">
        <v>119</v>
      </c>
      <c r="D46" s="53" t="s">
        <v>103</v>
      </c>
      <c r="E46" s="53" t="s">
        <v>87</v>
      </c>
      <c r="F46" s="53" t="s">
        <v>88</v>
      </c>
      <c r="G46" s="53"/>
      <c r="H46" s="53"/>
      <c r="I46" s="53"/>
      <c r="J46" s="53"/>
      <c r="K46" s="53"/>
      <c r="L46" s="53" t="s">
        <v>104</v>
      </c>
      <c r="M46" s="53"/>
      <c r="N46" s="57" t="s">
        <v>89</v>
      </c>
    </row>
    <row r="47" spans="1:14">
      <c r="A47" s="62"/>
      <c r="B47" s="53"/>
      <c r="C47" s="53"/>
      <c r="D47" s="53"/>
      <c r="E47" s="53"/>
      <c r="F47" s="13" t="s">
        <v>59</v>
      </c>
      <c r="G47" s="13" t="s">
        <v>60</v>
      </c>
      <c r="H47" s="13" t="s">
        <v>65</v>
      </c>
      <c r="I47" s="13" t="s">
        <v>90</v>
      </c>
      <c r="J47" s="13" t="s">
        <v>61</v>
      </c>
      <c r="K47" s="13" t="s">
        <v>87</v>
      </c>
      <c r="L47" s="13" t="s">
        <v>60</v>
      </c>
      <c r="M47" s="13" t="s">
        <v>65</v>
      </c>
      <c r="N47" s="57"/>
    </row>
    <row r="48" spans="1:14">
      <c r="A48" s="6" t="s">
        <v>91</v>
      </c>
      <c r="B48" s="3" t="s">
        <v>241</v>
      </c>
      <c r="C48" s="3" t="s">
        <v>69</v>
      </c>
      <c r="D48" s="3" t="s">
        <v>49</v>
      </c>
      <c r="E48" s="3" t="s">
        <v>242</v>
      </c>
      <c r="F48" s="3" t="s">
        <v>243</v>
      </c>
      <c r="G48" s="3" t="s">
        <v>72</v>
      </c>
      <c r="H48" s="3"/>
      <c r="I48" s="15" t="s">
        <v>94</v>
      </c>
      <c r="J48" s="15" t="s">
        <v>49</v>
      </c>
      <c r="K48" s="3" t="s">
        <v>244</v>
      </c>
      <c r="L48" s="3" t="s">
        <v>179</v>
      </c>
      <c r="M48" s="3"/>
      <c r="N48" s="7"/>
    </row>
    <row r="49" spans="1:14">
      <c r="A49" s="14" t="s">
        <v>91</v>
      </c>
      <c r="B49" s="15" t="s">
        <v>245</v>
      </c>
      <c r="C49" s="3" t="s">
        <v>69</v>
      </c>
      <c r="D49" s="3" t="s">
        <v>49</v>
      </c>
      <c r="E49" s="15" t="s">
        <v>246</v>
      </c>
      <c r="F49" s="15" t="s">
        <v>202</v>
      </c>
      <c r="G49" s="15" t="s">
        <v>75</v>
      </c>
      <c r="H49" s="15" t="s">
        <v>203</v>
      </c>
      <c r="I49" s="15" t="s">
        <v>94</v>
      </c>
      <c r="J49" s="15" t="s">
        <v>49</v>
      </c>
      <c r="K49" s="15" t="s">
        <v>229</v>
      </c>
      <c r="L49" s="3" t="s">
        <v>179</v>
      </c>
      <c r="M49" s="15"/>
      <c r="N49" s="8"/>
    </row>
    <row r="50" spans="1:14">
      <c r="A50" s="14" t="s">
        <v>91</v>
      </c>
      <c r="B50" s="15" t="s">
        <v>207</v>
      </c>
      <c r="C50" s="3" t="s">
        <v>69</v>
      </c>
      <c r="D50" s="3" t="s">
        <v>49</v>
      </c>
      <c r="E50" s="15" t="s">
        <v>247</v>
      </c>
      <c r="F50" s="15"/>
      <c r="G50" s="15"/>
      <c r="H50" s="15"/>
      <c r="I50" s="15"/>
      <c r="J50" s="15"/>
      <c r="K50" s="15"/>
      <c r="L50" s="15" t="s">
        <v>195</v>
      </c>
      <c r="M50" s="15"/>
      <c r="N50" s="8"/>
    </row>
  </sheetData>
  <mergeCells count="84">
    <mergeCell ref="A45:N45"/>
    <mergeCell ref="A46:A47"/>
    <mergeCell ref="B46:B47"/>
    <mergeCell ref="C46:C47"/>
    <mergeCell ref="D46:D47"/>
    <mergeCell ref="E46:E47"/>
    <mergeCell ref="F46:K46"/>
    <mergeCell ref="L46:M46"/>
    <mergeCell ref="N46:N47"/>
    <mergeCell ref="E31:E32"/>
    <mergeCell ref="J24:L24"/>
    <mergeCell ref="M24:N24"/>
    <mergeCell ref="J25:L25"/>
    <mergeCell ref="M25:N25"/>
    <mergeCell ref="A30:N30"/>
    <mergeCell ref="F31:K31"/>
    <mergeCell ref="L31:M31"/>
    <mergeCell ref="N31:N32"/>
    <mergeCell ref="A31:A32"/>
    <mergeCell ref="B31:B32"/>
    <mergeCell ref="C31:C32"/>
    <mergeCell ref="D31:D32"/>
    <mergeCell ref="J27:L27"/>
    <mergeCell ref="J28:L28"/>
    <mergeCell ref="J29:L29"/>
    <mergeCell ref="G15:I15"/>
    <mergeCell ref="J15:N15"/>
    <mergeCell ref="G16:I16"/>
    <mergeCell ref="J16:N16"/>
    <mergeCell ref="A22:A23"/>
    <mergeCell ref="B22:B23"/>
    <mergeCell ref="C22:C23"/>
    <mergeCell ref="D22:D23"/>
    <mergeCell ref="E22:L22"/>
    <mergeCell ref="G17:I17"/>
    <mergeCell ref="J17:N17"/>
    <mergeCell ref="G18:I18"/>
    <mergeCell ref="J18:N18"/>
    <mergeCell ref="A21:N21"/>
    <mergeCell ref="M22:N23"/>
    <mergeCell ref="J23:L23"/>
    <mergeCell ref="A7:E7"/>
    <mergeCell ref="B8:D8"/>
    <mergeCell ref="B9:D9"/>
    <mergeCell ref="A12:N12"/>
    <mergeCell ref="A13:A14"/>
    <mergeCell ref="B13:B14"/>
    <mergeCell ref="C13:D13"/>
    <mergeCell ref="E13:E14"/>
    <mergeCell ref="F13:F14"/>
    <mergeCell ref="G13:I14"/>
    <mergeCell ref="J13:N14"/>
    <mergeCell ref="B10:D10"/>
    <mergeCell ref="B11:D11"/>
    <mergeCell ref="B6:E6"/>
    <mergeCell ref="A1:E1"/>
    <mergeCell ref="B2:E2"/>
    <mergeCell ref="B3:E3"/>
    <mergeCell ref="B4:E4"/>
    <mergeCell ref="B5:E5"/>
    <mergeCell ref="G19:I19"/>
    <mergeCell ref="G20:I20"/>
    <mergeCell ref="J19:N19"/>
    <mergeCell ref="J20:N20"/>
    <mergeCell ref="J26:L26"/>
    <mergeCell ref="F43:F44"/>
    <mergeCell ref="F41:F42"/>
    <mergeCell ref="F39:F40"/>
    <mergeCell ref="F37:F38"/>
    <mergeCell ref="F35:F36"/>
    <mergeCell ref="F33:F34"/>
    <mergeCell ref="G33:G34"/>
    <mergeCell ref="G35:G36"/>
    <mergeCell ref="G37:G38"/>
    <mergeCell ref="G39:G40"/>
    <mergeCell ref="G41:G42"/>
    <mergeCell ref="G43:G44"/>
    <mergeCell ref="J33:J44"/>
    <mergeCell ref="K43:K44"/>
    <mergeCell ref="K41:K42"/>
    <mergeCell ref="K39:K40"/>
    <mergeCell ref="K37:K38"/>
    <mergeCell ref="K35:K36"/>
    <mergeCell ref="K33:K34"/>
  </mergeCells>
  <hyperlinks>
    <hyperlink ref="A1:E1" location="Clases!A1" display="&lt;-Volver al inicio" xr:uid="{8A713DBE-F68E-46BF-B2F5-2FE7D12D1AEA}"/>
    <hyperlink ref="E9" location="'Rol'!B2" display="Rol" xr:uid="{1D2F5191-4DEC-45F5-BC2E-F46D9ED23C9C}"/>
    <hyperlink ref="E11" location="'Venta'!B2" display="=Producto!B2" xr:uid="{2D57B079-C7DB-4ECA-8F91-C3855E926FBC}"/>
    <hyperlink ref="E10" location="'EstadoUsuario'!B2" display="=Producto!B2" xr:uid="{CE644B24-AE09-459B-B017-2BFC3B101C1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10BC8D7-7BB8-4A13-9697-EF26624D2E43}">
          <x14:formula1>
            <xm:f>Valores!$D$2:$D$3</xm:f>
          </x14:formula1>
          <xm:sqref>B5</xm:sqref>
        </x14:dataValidation>
        <x14:dataValidation type="list" allowBlank="1" showInputMessage="1" showErrorMessage="1" xr:uid="{86BB2C95-1235-4058-850D-092CBA4141E1}">
          <x14:formula1>
            <xm:f>Valores!$E$2:$E$3</xm:f>
          </x14:formula1>
          <xm:sqref>B6 E15:E20 J33 D48:D50 I24:I29 D33:D44 J48:J50</xm:sqref>
        </x14:dataValidation>
        <x14:dataValidation type="list" allowBlank="1" showInputMessage="1" showErrorMessage="1" xr:uid="{097CFCE0-2CF1-4510-BEF7-5EA30B84C4DF}">
          <x14:formula1>
            <xm:f>Valores!$F$2:$F$5</xm:f>
          </x14:formula1>
          <xm:sqref>A15:A20 A24:A29 A48:A50 A33:A44</xm:sqref>
        </x14:dataValidation>
        <x14:dataValidation type="list" allowBlank="1" showInputMessage="1" showErrorMessage="1" xr:uid="{62627A3A-ED79-454F-AB3C-4C67E7805C79}">
          <x14:formula1>
            <xm:f>Valores!$G$2:$G$12</xm:f>
          </x14:formula1>
          <xm:sqref>C15:C20 F24:F29 G43 L33:L44 G48:G50 G33 G35 G37 G39 G41 L50</xm:sqref>
        </x14:dataValidation>
        <x14:dataValidation type="list" allowBlank="1" showInputMessage="1" showErrorMessage="1" xr:uid="{F7B72113-E76E-4276-B513-7E3D6B946BF4}">
          <x14:formula1>
            <xm:f>Valores!$H$2:$H$3</xm:f>
          </x14:formula1>
          <xm:sqref>F15:F20 C48:C50</xm:sqref>
        </x14:dataValidation>
        <x14:dataValidation type="list" allowBlank="1" showInputMessage="1" showErrorMessage="1" xr:uid="{ED18E200-3E5A-4627-B3B5-AE12657E784A}">
          <x14:formula1>
            <xm:f>Valores!$I$2:$I$3</xm:f>
          </x14:formula1>
          <xm:sqref>C24:C29</xm:sqref>
        </x14:dataValidation>
        <x14:dataValidation type="list" allowBlank="1" showInputMessage="1" showErrorMessage="1" xr:uid="{999BE9DD-6281-4D8E-9E7B-A11BF5CF2185}">
          <x14:formula1>
            <xm:f>Valores!$J$2:$J$3</xm:f>
          </x14:formula1>
          <xm:sqref>H24:H29 I33:I44 I48:I50</xm:sqref>
        </x14:dataValidation>
        <x14:dataValidation type="list" allowBlank="1" showInputMessage="1" showErrorMessage="1" xr:uid="{375DC023-1055-46E6-8C2F-323C181FC567}">
          <x14:formula1>
            <xm:f>Valores!$K$2:$K$3</xm:f>
          </x14:formula1>
          <xm:sqref>C33:C44</xm:sqref>
        </x14:dataValidation>
        <x14:dataValidation type="list" allowBlank="1" showInputMessage="1" showErrorMessage="1" xr:uid="{B44F364F-F18C-47A1-92F2-CB279A236867}">
          <x14:formula1>
            <xm:f>Valores!$L$2:$L$13</xm:f>
          </x14:formula1>
          <xm:sqref>L48:L49</xm:sqref>
        </x14:dataValidation>
        <x14:dataValidation type="list" allowBlank="1" showInputMessage="1" showErrorMessage="1" xr:uid="{12B1A91E-A77E-46BC-933B-0D2206C8C96D}">
          <x14:formula1>
            <xm:f>Valores!$B$2:$B$3</xm:f>
          </x14:formula1>
          <xm:sqref>A9:A11</xm:sqref>
        </x14:dataValidation>
        <x14:dataValidation type="list" allowBlank="1" showInputMessage="1" showErrorMessage="1" xr:uid="{4ADFF7D8-35BF-4C78-8B63-A8120FBEC511}">
          <x14:formula1>
            <xm:f>Valores!$C$2:$C$7</xm:f>
          </x14:formula1>
          <xm:sqref>B9:B11</xm:sqref>
        </x14:dataValidation>
        <x14:dataValidation type="list" allowBlank="1" showInputMessage="1" showErrorMessage="1" xr:uid="{4F571BB9-BA4F-4982-AA69-5442C33345D5}">
          <x14:formula1>
            <xm:f>Clases!$A$2:$A$13</xm:f>
          </x14:formula1>
          <xm:sqref>E9:E11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4848-100A-4261-AE27-0B82A6518F87}">
  <dimension ref="A1:N41"/>
  <sheetViews>
    <sheetView zoomScale="55" zoomScaleNormal="55" workbookViewId="0">
      <pane ySplit="1" topLeftCell="A18" activePane="bottomLeft" state="frozen"/>
      <selection pane="bottomLeft" activeCell="A45" sqref="A45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78" style="1" customWidth="1"/>
    <col min="5" max="5" width="74.425781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0.14062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Clases!A8</f>
        <v>Persona</v>
      </c>
      <c r="C2" s="77"/>
      <c r="D2" s="77"/>
      <c r="E2" s="78"/>
    </row>
    <row r="3" spans="1:14">
      <c r="A3" s="17" t="str">
        <f>Clases!$B$1</f>
        <v>Estereotipo</v>
      </c>
      <c r="B3" s="64" t="str">
        <f>Clases!B8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Clases!C8</f>
        <v>Clase que representa una persona en el sistema con su información personal básica como nombres, apellidos y datos de contacto.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56</v>
      </c>
      <c r="B9" s="70" t="s">
        <v>55</v>
      </c>
      <c r="C9" s="70"/>
      <c r="D9" s="70"/>
      <c r="E9" s="36" t="s">
        <v>19</v>
      </c>
    </row>
    <row r="10" spans="1:14">
      <c r="A10" s="32" t="s">
        <v>54</v>
      </c>
      <c r="B10" s="100" t="s">
        <v>55</v>
      </c>
      <c r="C10" s="101"/>
      <c r="D10" s="102"/>
      <c r="E10" s="37" t="s">
        <v>21</v>
      </c>
    </row>
    <row r="11" spans="1:14">
      <c r="A11" s="66" t="s">
        <v>57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</row>
    <row r="12" spans="1:14">
      <c r="A12" s="73" t="s">
        <v>58</v>
      </c>
      <c r="B12" s="71" t="s">
        <v>59</v>
      </c>
      <c r="C12" s="71" t="s">
        <v>60</v>
      </c>
      <c r="D12" s="71"/>
      <c r="E12" s="71" t="s">
        <v>61</v>
      </c>
      <c r="F12" s="71" t="s">
        <v>62</v>
      </c>
      <c r="G12" s="71" t="s">
        <v>63</v>
      </c>
      <c r="H12" s="71"/>
      <c r="I12" s="71"/>
      <c r="J12" s="71" t="s">
        <v>64</v>
      </c>
      <c r="K12" s="71"/>
      <c r="L12" s="71"/>
      <c r="M12" s="71"/>
      <c r="N12" s="72"/>
    </row>
    <row r="13" spans="1:14">
      <c r="A13" s="73"/>
      <c r="B13" s="71"/>
      <c r="C13" s="10" t="s">
        <v>60</v>
      </c>
      <c r="D13" s="10" t="s">
        <v>65</v>
      </c>
      <c r="E13" s="71"/>
      <c r="F13" s="71"/>
      <c r="G13" s="71"/>
      <c r="H13" s="71"/>
      <c r="I13" s="71"/>
      <c r="J13" s="71"/>
      <c r="K13" s="71"/>
      <c r="L13" s="71"/>
      <c r="M13" s="71"/>
      <c r="N13" s="72"/>
    </row>
    <row r="14" spans="1:14">
      <c r="A14" s="6" t="s">
        <v>66</v>
      </c>
      <c r="B14" s="3" t="s">
        <v>133</v>
      </c>
      <c r="C14" s="3" t="s">
        <v>68</v>
      </c>
      <c r="D14" s="3"/>
      <c r="E14" s="3" t="s">
        <v>49</v>
      </c>
      <c r="F14" s="3" t="s">
        <v>69</v>
      </c>
      <c r="G14" s="64"/>
      <c r="H14" s="64"/>
      <c r="I14" s="64"/>
      <c r="J14" s="64" t="s">
        <v>248</v>
      </c>
      <c r="K14" s="64"/>
      <c r="L14" s="64"/>
      <c r="M14" s="64"/>
      <c r="N14" s="65"/>
    </row>
    <row r="15" spans="1:14">
      <c r="A15" s="6" t="s">
        <v>66</v>
      </c>
      <c r="B15" s="3" t="s">
        <v>249</v>
      </c>
      <c r="C15" s="3" t="s">
        <v>72</v>
      </c>
      <c r="D15" s="3"/>
      <c r="E15" s="3" t="s">
        <v>49</v>
      </c>
      <c r="F15" s="3" t="s">
        <v>69</v>
      </c>
      <c r="G15" s="64"/>
      <c r="H15" s="64"/>
      <c r="I15" s="64"/>
      <c r="J15" s="64" t="s">
        <v>250</v>
      </c>
      <c r="K15" s="64"/>
      <c r="L15" s="64"/>
      <c r="M15" s="64"/>
      <c r="N15" s="65"/>
    </row>
    <row r="16" spans="1:14">
      <c r="A16" s="6" t="s">
        <v>66</v>
      </c>
      <c r="B16" s="3" t="s">
        <v>251</v>
      </c>
      <c r="C16" s="3" t="s">
        <v>72</v>
      </c>
      <c r="D16" s="3"/>
      <c r="E16" s="3" t="s">
        <v>49</v>
      </c>
      <c r="F16" s="3" t="s">
        <v>69</v>
      </c>
      <c r="G16" s="64"/>
      <c r="H16" s="64"/>
      <c r="I16" s="64"/>
      <c r="J16" s="64" t="s">
        <v>252</v>
      </c>
      <c r="K16" s="64"/>
      <c r="L16" s="64"/>
      <c r="M16" s="64"/>
      <c r="N16" s="65"/>
    </row>
    <row r="17" spans="1:14">
      <c r="A17" s="6" t="s">
        <v>66</v>
      </c>
      <c r="B17" s="3" t="s">
        <v>253</v>
      </c>
      <c r="C17" s="3" t="s">
        <v>72</v>
      </c>
      <c r="D17" s="3"/>
      <c r="E17" s="3" t="s">
        <v>49</v>
      </c>
      <c r="F17" s="3" t="s">
        <v>69</v>
      </c>
      <c r="G17" s="64"/>
      <c r="H17" s="64"/>
      <c r="I17" s="64"/>
      <c r="J17" s="64" t="s">
        <v>254</v>
      </c>
      <c r="K17" s="64"/>
      <c r="L17" s="64"/>
      <c r="M17" s="64"/>
      <c r="N17" s="65"/>
    </row>
    <row r="18" spans="1:14">
      <c r="A18" s="81" t="s">
        <v>85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3"/>
    </row>
    <row r="19" spans="1:14">
      <c r="A19" s="84" t="s">
        <v>58</v>
      </c>
      <c r="B19" s="79" t="s">
        <v>59</v>
      </c>
      <c r="C19" s="79" t="s">
        <v>86</v>
      </c>
      <c r="D19" s="79" t="s">
        <v>87</v>
      </c>
      <c r="E19" s="79" t="s">
        <v>88</v>
      </c>
      <c r="F19" s="79"/>
      <c r="G19" s="79"/>
      <c r="H19" s="79"/>
      <c r="I19" s="79"/>
      <c r="J19" s="79"/>
      <c r="K19" s="79"/>
      <c r="L19" s="79"/>
      <c r="M19" s="79" t="s">
        <v>89</v>
      </c>
      <c r="N19" s="80"/>
    </row>
    <row r="20" spans="1:14">
      <c r="A20" s="84"/>
      <c r="B20" s="79"/>
      <c r="C20" s="79"/>
      <c r="D20" s="79"/>
      <c r="E20" s="11" t="s">
        <v>59</v>
      </c>
      <c r="F20" s="11" t="s">
        <v>60</v>
      </c>
      <c r="G20" s="11" t="s">
        <v>65</v>
      </c>
      <c r="H20" s="11" t="s">
        <v>90</v>
      </c>
      <c r="I20" s="11" t="s">
        <v>61</v>
      </c>
      <c r="J20" s="79" t="s">
        <v>87</v>
      </c>
      <c r="K20" s="79"/>
      <c r="L20" s="79"/>
      <c r="M20" s="79"/>
      <c r="N20" s="80"/>
    </row>
    <row r="21" spans="1:14">
      <c r="A21" s="6" t="s">
        <v>91</v>
      </c>
      <c r="B21" s="3" t="str">
        <f>B2</f>
        <v>Persona</v>
      </c>
      <c r="C21" s="3" t="s">
        <v>92</v>
      </c>
      <c r="D21" s="3" t="s">
        <v>255</v>
      </c>
      <c r="E21" s="3"/>
      <c r="F21" s="3"/>
      <c r="G21" s="3"/>
      <c r="H21" s="3"/>
      <c r="I21" s="3"/>
      <c r="J21" s="45"/>
      <c r="K21" s="48"/>
      <c r="L21" s="49"/>
      <c r="M21" s="45"/>
      <c r="N21" s="46"/>
    </row>
    <row r="22" spans="1:14">
      <c r="A22" s="103" t="s">
        <v>91</v>
      </c>
      <c r="B22" s="43" t="str">
        <f>B2</f>
        <v>Persona</v>
      </c>
      <c r="C22" s="43" t="s">
        <v>97</v>
      </c>
      <c r="D22" s="43" t="s">
        <v>256</v>
      </c>
      <c r="E22" s="3" t="s">
        <v>133</v>
      </c>
      <c r="F22" s="3" t="s">
        <v>68</v>
      </c>
      <c r="G22" s="3"/>
      <c r="H22" s="3" t="s">
        <v>94</v>
      </c>
      <c r="I22" s="3" t="s">
        <v>49</v>
      </c>
      <c r="J22" s="45" t="s">
        <v>257</v>
      </c>
      <c r="K22" s="48"/>
      <c r="L22" s="49"/>
      <c r="M22" s="45"/>
      <c r="N22" s="46"/>
    </row>
    <row r="23" spans="1:14">
      <c r="A23" s="104"/>
      <c r="B23" s="85"/>
      <c r="C23" s="85"/>
      <c r="D23" s="85"/>
      <c r="E23" s="3" t="s">
        <v>249</v>
      </c>
      <c r="F23" s="3" t="s">
        <v>72</v>
      </c>
      <c r="G23" s="3"/>
      <c r="H23" s="3" t="s">
        <v>94</v>
      </c>
      <c r="I23" s="3" t="s">
        <v>49</v>
      </c>
      <c r="J23" s="45" t="s">
        <v>258</v>
      </c>
      <c r="K23" s="48"/>
      <c r="L23" s="49"/>
      <c r="M23" s="28"/>
      <c r="N23" s="31"/>
    </row>
    <row r="24" spans="1:14">
      <c r="A24" s="104"/>
      <c r="B24" s="85"/>
      <c r="C24" s="85"/>
      <c r="D24" s="85"/>
      <c r="E24" s="3" t="s">
        <v>251</v>
      </c>
      <c r="F24" s="3" t="s">
        <v>72</v>
      </c>
      <c r="G24" s="3"/>
      <c r="H24" s="3" t="s">
        <v>94</v>
      </c>
      <c r="I24" s="3" t="s">
        <v>49</v>
      </c>
      <c r="J24" s="45" t="s">
        <v>259</v>
      </c>
      <c r="K24" s="48"/>
      <c r="L24" s="49"/>
      <c r="M24" s="28"/>
      <c r="N24" s="31"/>
    </row>
    <row r="25" spans="1:14">
      <c r="A25" s="105"/>
      <c r="B25" s="44"/>
      <c r="C25" s="44"/>
      <c r="D25" s="44"/>
      <c r="E25" s="3" t="s">
        <v>253</v>
      </c>
      <c r="F25" s="3" t="s">
        <v>72</v>
      </c>
      <c r="G25" s="3"/>
      <c r="H25" s="3" t="s">
        <v>94</v>
      </c>
      <c r="I25" s="3" t="s">
        <v>49</v>
      </c>
      <c r="J25" s="45" t="s">
        <v>260</v>
      </c>
      <c r="K25" s="48"/>
      <c r="L25" s="49"/>
      <c r="M25" s="28"/>
      <c r="N25" s="31"/>
    </row>
    <row r="26" spans="1:14">
      <c r="A26" s="58" t="s">
        <v>101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60"/>
    </row>
    <row r="27" spans="1:14">
      <c r="A27" s="63" t="s">
        <v>58</v>
      </c>
      <c r="B27" s="47" t="s">
        <v>59</v>
      </c>
      <c r="C27" s="47" t="s">
        <v>102</v>
      </c>
      <c r="D27" s="47" t="s">
        <v>103</v>
      </c>
      <c r="E27" s="47" t="s">
        <v>87</v>
      </c>
      <c r="F27" s="47" t="s">
        <v>88</v>
      </c>
      <c r="G27" s="47"/>
      <c r="H27" s="47"/>
      <c r="I27" s="47"/>
      <c r="J27" s="47"/>
      <c r="K27" s="47"/>
      <c r="L27" s="47" t="s">
        <v>104</v>
      </c>
      <c r="M27" s="47"/>
      <c r="N27" s="61" t="s">
        <v>89</v>
      </c>
    </row>
    <row r="28" spans="1:14">
      <c r="A28" s="63"/>
      <c r="B28" s="47"/>
      <c r="C28" s="47"/>
      <c r="D28" s="47"/>
      <c r="E28" s="47"/>
      <c r="F28" s="12" t="s">
        <v>59</v>
      </c>
      <c r="G28" s="12" t="s">
        <v>60</v>
      </c>
      <c r="H28" s="12" t="s">
        <v>65</v>
      </c>
      <c r="I28" s="12" t="s">
        <v>90</v>
      </c>
      <c r="J28" s="12" t="s">
        <v>61</v>
      </c>
      <c r="K28" s="12" t="s">
        <v>87</v>
      </c>
      <c r="L28" s="12" t="s">
        <v>60</v>
      </c>
      <c r="M28" s="12" t="s">
        <v>65</v>
      </c>
      <c r="N28" s="61"/>
    </row>
    <row r="29" spans="1:14">
      <c r="A29" s="6" t="s">
        <v>91</v>
      </c>
      <c r="B29" s="3" t="s">
        <v>140</v>
      </c>
      <c r="C29" s="3" t="s">
        <v>106</v>
      </c>
      <c r="D29" s="3" t="s">
        <v>49</v>
      </c>
      <c r="E29" s="3" t="s">
        <v>141</v>
      </c>
      <c r="F29" s="43" t="s">
        <v>133</v>
      </c>
      <c r="G29" s="43" t="s">
        <v>68</v>
      </c>
      <c r="H29" s="3"/>
      <c r="I29" s="43" t="s">
        <v>94</v>
      </c>
      <c r="J29" s="43" t="s">
        <v>49</v>
      </c>
      <c r="K29" s="3" t="s">
        <v>151</v>
      </c>
      <c r="L29" s="3" t="s">
        <v>68</v>
      </c>
      <c r="M29" s="3"/>
      <c r="N29" s="7"/>
    </row>
    <row r="30" spans="1:14">
      <c r="A30" s="6" t="s">
        <v>91</v>
      </c>
      <c r="B30" s="3" t="s">
        <v>162</v>
      </c>
      <c r="C30" s="3" t="s">
        <v>112</v>
      </c>
      <c r="D30" s="3" t="s">
        <v>49</v>
      </c>
      <c r="E30" s="3" t="s">
        <v>163</v>
      </c>
      <c r="F30" s="44"/>
      <c r="G30" s="44"/>
      <c r="H30" s="3"/>
      <c r="I30" s="85"/>
      <c r="J30" s="85"/>
      <c r="K30" s="3"/>
      <c r="L30" s="3" t="s">
        <v>179</v>
      </c>
      <c r="M30" s="3"/>
      <c r="N30" s="7"/>
    </row>
    <row r="31" spans="1:14">
      <c r="A31" s="6" t="s">
        <v>91</v>
      </c>
      <c r="B31" s="3" t="s">
        <v>261</v>
      </c>
      <c r="C31" s="3" t="s">
        <v>106</v>
      </c>
      <c r="D31" s="3" t="s">
        <v>49</v>
      </c>
      <c r="E31" t="s">
        <v>262</v>
      </c>
      <c r="F31" s="43" t="s">
        <v>249</v>
      </c>
      <c r="G31" s="43" t="s">
        <v>72</v>
      </c>
      <c r="H31" s="3"/>
      <c r="I31" s="85"/>
      <c r="J31" s="85"/>
      <c r="K31" s="3" t="s">
        <v>263</v>
      </c>
      <c r="L31" s="3" t="s">
        <v>72</v>
      </c>
      <c r="M31" s="3"/>
      <c r="N31" s="7"/>
    </row>
    <row r="32" spans="1:14">
      <c r="A32" s="6" t="s">
        <v>91</v>
      </c>
      <c r="B32" s="3" t="s">
        <v>264</v>
      </c>
      <c r="C32" s="3" t="s">
        <v>112</v>
      </c>
      <c r="D32" s="3" t="s">
        <v>49</v>
      </c>
      <c r="E32" s="3" t="s">
        <v>265</v>
      </c>
      <c r="F32" s="44"/>
      <c r="G32" s="44"/>
      <c r="H32" s="3"/>
      <c r="I32" s="85"/>
      <c r="J32" s="85"/>
      <c r="K32" s="3"/>
      <c r="L32" s="3" t="s">
        <v>179</v>
      </c>
      <c r="M32" s="3"/>
      <c r="N32" s="7"/>
    </row>
    <row r="33" spans="1:14">
      <c r="A33" s="6" t="s">
        <v>91</v>
      </c>
      <c r="B33" s="3" t="s">
        <v>266</v>
      </c>
      <c r="C33" s="3" t="s">
        <v>106</v>
      </c>
      <c r="D33" s="3" t="s">
        <v>49</v>
      </c>
      <c r="E33" s="3" t="s">
        <v>267</v>
      </c>
      <c r="F33" s="89" t="s">
        <v>251</v>
      </c>
      <c r="G33" s="43" t="s">
        <v>72</v>
      </c>
      <c r="H33" s="3"/>
      <c r="I33" s="85"/>
      <c r="J33" s="85"/>
      <c r="K33" t="s">
        <v>268</v>
      </c>
      <c r="L33" s="3" t="s">
        <v>72</v>
      </c>
      <c r="M33" s="3"/>
      <c r="N33" s="7"/>
    </row>
    <row r="34" spans="1:14">
      <c r="A34" s="6" t="s">
        <v>91</v>
      </c>
      <c r="B34" s="3" t="s">
        <v>269</v>
      </c>
      <c r="C34" s="3" t="s">
        <v>112</v>
      </c>
      <c r="D34" s="3" t="s">
        <v>49</v>
      </c>
      <c r="E34" s="3" t="s">
        <v>270</v>
      </c>
      <c r="F34" s="90"/>
      <c r="G34" s="44"/>
      <c r="H34" s="3"/>
      <c r="I34" s="85"/>
      <c r="J34" s="85"/>
      <c r="K34" s="3"/>
      <c r="L34" s="3" t="s">
        <v>179</v>
      </c>
      <c r="M34" s="3"/>
      <c r="N34" s="7"/>
    </row>
    <row r="35" spans="1:14">
      <c r="A35" s="6" t="s">
        <v>91</v>
      </c>
      <c r="B35" s="3" t="s">
        <v>271</v>
      </c>
      <c r="C35" s="3" t="s">
        <v>106</v>
      </c>
      <c r="D35" s="3" t="s">
        <v>49</v>
      </c>
      <c r="E35" s="3" t="s">
        <v>272</v>
      </c>
      <c r="F35" s="89" t="s">
        <v>253</v>
      </c>
      <c r="G35" s="43" t="s">
        <v>72</v>
      </c>
      <c r="H35" s="3"/>
      <c r="I35" s="85"/>
      <c r="J35" s="85"/>
      <c r="K35" s="3" t="s">
        <v>273</v>
      </c>
      <c r="L35" s="3" t="s">
        <v>72</v>
      </c>
      <c r="M35" s="3"/>
      <c r="N35" s="7"/>
    </row>
    <row r="36" spans="1:14">
      <c r="A36" s="6" t="s">
        <v>91</v>
      </c>
      <c r="B36" s="3" t="s">
        <v>274</v>
      </c>
      <c r="C36" s="3" t="s">
        <v>112</v>
      </c>
      <c r="D36" s="3" t="s">
        <v>49</v>
      </c>
      <c r="E36" s="3" t="s">
        <v>275</v>
      </c>
      <c r="F36" s="90"/>
      <c r="G36" s="44"/>
      <c r="H36" s="3"/>
      <c r="I36" s="44"/>
      <c r="J36" s="44"/>
      <c r="K36" s="3"/>
      <c r="L36" s="3" t="s">
        <v>179</v>
      </c>
      <c r="M36" s="3"/>
      <c r="N36" s="7"/>
    </row>
    <row r="37" spans="1:14">
      <c r="A37" s="54" t="s">
        <v>118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>
      <c r="A38" s="62" t="s">
        <v>58</v>
      </c>
      <c r="B38" s="53" t="s">
        <v>59</v>
      </c>
      <c r="C38" s="53" t="s">
        <v>119</v>
      </c>
      <c r="D38" s="53" t="s">
        <v>103</v>
      </c>
      <c r="E38" s="53" t="s">
        <v>87</v>
      </c>
      <c r="F38" s="53" t="s">
        <v>88</v>
      </c>
      <c r="G38" s="53"/>
      <c r="H38" s="53"/>
      <c r="I38" s="53"/>
      <c r="J38" s="53"/>
      <c r="K38" s="53"/>
      <c r="L38" s="53" t="s">
        <v>104</v>
      </c>
      <c r="M38" s="53"/>
      <c r="N38" s="57" t="s">
        <v>89</v>
      </c>
    </row>
    <row r="39" spans="1:14">
      <c r="A39" s="62"/>
      <c r="B39" s="53"/>
      <c r="C39" s="53"/>
      <c r="D39" s="53"/>
      <c r="E39" s="53"/>
      <c r="F39" s="13" t="s">
        <v>59</v>
      </c>
      <c r="G39" s="13" t="s">
        <v>60</v>
      </c>
      <c r="H39" s="13" t="s">
        <v>65</v>
      </c>
      <c r="I39" s="13" t="s">
        <v>90</v>
      </c>
      <c r="J39" s="13" t="s">
        <v>61</v>
      </c>
      <c r="K39" s="13" t="s">
        <v>87</v>
      </c>
      <c r="L39" s="13" t="s">
        <v>60</v>
      </c>
      <c r="M39" s="13" t="s">
        <v>65</v>
      </c>
      <c r="N39" s="57"/>
    </row>
    <row r="40" spans="1:14">
      <c r="A40" s="6" t="s">
        <v>91</v>
      </c>
      <c r="B40" s="3" t="s">
        <v>276</v>
      </c>
      <c r="C40" s="3" t="s">
        <v>69</v>
      </c>
      <c r="D40" s="3" t="s">
        <v>49</v>
      </c>
      <c r="E40" s="3" t="s">
        <v>277</v>
      </c>
      <c r="F40" s="3" t="s">
        <v>253</v>
      </c>
      <c r="G40" s="3" t="s">
        <v>72</v>
      </c>
      <c r="H40" s="3"/>
      <c r="I40" s="3" t="s">
        <v>94</v>
      </c>
      <c r="J40" s="3" t="s">
        <v>49</v>
      </c>
      <c r="K40" s="3" t="s">
        <v>278</v>
      </c>
      <c r="L40" s="3" t="s">
        <v>179</v>
      </c>
      <c r="M40" s="3"/>
      <c r="N40" s="7"/>
    </row>
    <row r="41" spans="1:14">
      <c r="A41" s="14" t="s">
        <v>91</v>
      </c>
      <c r="B41" s="15" t="s">
        <v>279</v>
      </c>
      <c r="C41" s="3" t="s">
        <v>69</v>
      </c>
      <c r="D41" s="3" t="s">
        <v>49</v>
      </c>
      <c r="E41" s="15" t="s">
        <v>280</v>
      </c>
      <c r="F41" s="15" t="s">
        <v>281</v>
      </c>
      <c r="G41" s="15" t="s">
        <v>72</v>
      </c>
      <c r="H41" s="15"/>
      <c r="I41" s="15" t="s">
        <v>94</v>
      </c>
      <c r="J41" s="15" t="s">
        <v>49</v>
      </c>
      <c r="K41" s="15" t="s">
        <v>282</v>
      </c>
      <c r="L41" s="3" t="s">
        <v>179</v>
      </c>
      <c r="M41" s="15"/>
      <c r="N41" s="8"/>
    </row>
  </sheetData>
  <mergeCells count="73">
    <mergeCell ref="B6:E6"/>
    <mergeCell ref="A1:E1"/>
    <mergeCell ref="B2:E2"/>
    <mergeCell ref="B3:E3"/>
    <mergeCell ref="B4:E4"/>
    <mergeCell ref="B5:E5"/>
    <mergeCell ref="G16:I16"/>
    <mergeCell ref="J16:N16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G15:I15"/>
    <mergeCell ref="M19:N20"/>
    <mergeCell ref="J20:L20"/>
    <mergeCell ref="J21:L21"/>
    <mergeCell ref="M21:N21"/>
    <mergeCell ref="J22:L22"/>
    <mergeCell ref="M22:N22"/>
    <mergeCell ref="L38:M38"/>
    <mergeCell ref="N38:N39"/>
    <mergeCell ref="F27:K27"/>
    <mergeCell ref="L27:M27"/>
    <mergeCell ref="N27:N28"/>
    <mergeCell ref="A37:N37"/>
    <mergeCell ref="A38:A39"/>
    <mergeCell ref="B38:B39"/>
    <mergeCell ref="C38:C39"/>
    <mergeCell ref="D38:D39"/>
    <mergeCell ref="E38:E39"/>
    <mergeCell ref="F38:K38"/>
    <mergeCell ref="A27:A28"/>
    <mergeCell ref="B27:B28"/>
    <mergeCell ref="C27:C28"/>
    <mergeCell ref="E27:E28"/>
    <mergeCell ref="D27:D28"/>
    <mergeCell ref="B10:D10"/>
    <mergeCell ref="A22:A25"/>
    <mergeCell ref="B22:B25"/>
    <mergeCell ref="C22:C25"/>
    <mergeCell ref="D22:D25"/>
    <mergeCell ref="A26:N26"/>
    <mergeCell ref="J15:N15"/>
    <mergeCell ref="G17:I17"/>
    <mergeCell ref="J17:N17"/>
    <mergeCell ref="A18:N18"/>
    <mergeCell ref="A19:A20"/>
    <mergeCell ref="B19:B20"/>
    <mergeCell ref="C19:C20"/>
    <mergeCell ref="D19:D20"/>
    <mergeCell ref="E19:L19"/>
    <mergeCell ref="J23:L23"/>
    <mergeCell ref="J24:L24"/>
    <mergeCell ref="J25:L25"/>
    <mergeCell ref="F29:F30"/>
    <mergeCell ref="F31:F32"/>
    <mergeCell ref="I29:I36"/>
    <mergeCell ref="J29:J36"/>
    <mergeCell ref="F33:F34"/>
    <mergeCell ref="F35:F36"/>
    <mergeCell ref="G29:G30"/>
    <mergeCell ref="G35:G36"/>
    <mergeCell ref="G33:G34"/>
    <mergeCell ref="G31:G32"/>
  </mergeCells>
  <hyperlinks>
    <hyperlink ref="A1:E1" location="Clases!A1" display="&lt;-Volver al inicio" xr:uid="{F42FDEFE-BFC5-4281-BD60-FE919AEE03A4}"/>
    <hyperlink ref="E9" location="'Cliente'!B2" display="Cliente" xr:uid="{D7B867C2-FD57-4DEC-917D-009AE390F5E1}"/>
    <hyperlink ref="E10" location="'TipoIdentificacion'!B2" display="TipoIdentificacion" xr:uid="{CEFFF343-697B-46F3-8C20-929779EDBBAE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C30DCFDD-96E2-47F4-8338-E9A9B1D757CC}">
          <x14:formula1>
            <xm:f>Clases!$A$2:$A$13</xm:f>
          </x14:formula1>
          <xm:sqref>E9:E10</xm:sqref>
        </x14:dataValidation>
        <x14:dataValidation type="list" allowBlank="1" showInputMessage="1" showErrorMessage="1" xr:uid="{C1BE86B1-EE46-4663-9E37-80D3916681E6}">
          <x14:formula1>
            <xm:f>Valores!$C$2:$C$7</xm:f>
          </x14:formula1>
          <xm:sqref>B9:B10</xm:sqref>
        </x14:dataValidation>
        <x14:dataValidation type="list" allowBlank="1" showInputMessage="1" showErrorMessage="1" xr:uid="{81F8266B-7E2A-45D5-83E7-0B01A0514486}">
          <x14:formula1>
            <xm:f>Valores!$B$2:$B$3</xm:f>
          </x14:formula1>
          <xm:sqref>A9:A10</xm:sqref>
        </x14:dataValidation>
        <x14:dataValidation type="list" allowBlank="1" showInputMessage="1" showErrorMessage="1" xr:uid="{B94160A5-DD57-47F9-A37E-2893130402E3}">
          <x14:formula1>
            <xm:f>Valores!$L$2:$L$13</xm:f>
          </x14:formula1>
          <xm:sqref>L40:L41</xm:sqref>
        </x14:dataValidation>
        <x14:dataValidation type="list" allowBlank="1" showInputMessage="1" showErrorMessage="1" xr:uid="{DCA1BB86-5EEA-411D-A66F-FBFA2DFC5EC4}">
          <x14:formula1>
            <xm:f>Valores!$K$2:$K$3</xm:f>
          </x14:formula1>
          <xm:sqref>C29:C36</xm:sqref>
        </x14:dataValidation>
        <x14:dataValidation type="list" allowBlank="1" showInputMessage="1" showErrorMessage="1" xr:uid="{53DA8D0F-B254-4DE0-91E7-1E287852E0CA}">
          <x14:formula1>
            <xm:f>Valores!$J$2:$J$3</xm:f>
          </x14:formula1>
          <xm:sqref>H21:H25 I40:I41 I29</xm:sqref>
        </x14:dataValidation>
        <x14:dataValidation type="list" allowBlank="1" showInputMessage="1" showErrorMessage="1" xr:uid="{FC5A35C9-405B-4F81-A5D4-B6B24EA9F68C}">
          <x14:formula1>
            <xm:f>Valores!$I$2:$I$3</xm:f>
          </x14:formula1>
          <xm:sqref>C21:C22</xm:sqref>
        </x14:dataValidation>
        <x14:dataValidation type="list" allowBlank="1" showInputMessage="1" showErrorMessage="1" xr:uid="{F9966C89-06DC-416D-ADDD-35DCBFD9C445}">
          <x14:formula1>
            <xm:f>Valores!$H$2:$H$3</xm:f>
          </x14:formula1>
          <xm:sqref>F14:F17 C40:C41</xm:sqref>
        </x14:dataValidation>
        <x14:dataValidation type="list" allowBlank="1" showInputMessage="1" showErrorMessage="1" xr:uid="{EADDA57C-B1EF-46CD-85BD-99CC2EACCE01}">
          <x14:formula1>
            <xm:f>Valores!$G$2:$G$12</xm:f>
          </x14:formula1>
          <xm:sqref>C14:C17 F21:F25 L35 G33 G40:G41 L29 L31 L33 G29 G35 G31</xm:sqref>
        </x14:dataValidation>
        <x14:dataValidation type="list" allowBlank="1" showInputMessage="1" showErrorMessage="1" xr:uid="{06C1A61F-BFED-4490-9E47-ECED91AF9236}">
          <x14:formula1>
            <xm:f>Valores!$F$2:$F$5</xm:f>
          </x14:formula1>
          <xm:sqref>A14:A17 A40:A41 A29:A36 A21:A22</xm:sqref>
        </x14:dataValidation>
        <x14:dataValidation type="list" allowBlank="1" showInputMessage="1" showErrorMessage="1" xr:uid="{72964206-420C-451C-861B-11E4DB8C355C}">
          <x14:formula1>
            <xm:f>Valores!$E$2:$E$3</xm:f>
          </x14:formula1>
          <xm:sqref>B6 J29 I21:I25 D29:D36 J40:J41 E14:E17 D40:D41</xm:sqref>
        </x14:dataValidation>
        <x14:dataValidation type="list" allowBlank="1" showInputMessage="1" showErrorMessage="1" xr:uid="{258C672A-8B99-475D-90B2-968543EA38C6}">
          <x14:formula1>
            <xm:f>Valores!$D$2:$D$3</xm:f>
          </x14:formula1>
          <xm:sqref>B5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C049-2C2A-4ED8-ADD3-DDD05903D4AB}">
  <dimension ref="A1:N33"/>
  <sheetViews>
    <sheetView zoomScale="55" zoomScaleNormal="55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8.7109375" style="1" customWidth="1"/>
    <col min="2" max="2" width="47" style="1" customWidth="1"/>
    <col min="3" max="3" width="39.85546875" style="1" customWidth="1"/>
    <col min="4" max="4" width="77.285156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58.710937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Clases!A9</f>
        <v>Cliente</v>
      </c>
      <c r="C2" s="77"/>
      <c r="D2" s="77"/>
      <c r="E2" s="78"/>
    </row>
    <row r="3" spans="1:14">
      <c r="A3" s="17" t="str">
        <f>Clases!$B$1</f>
        <v>Estereotipo</v>
      </c>
      <c r="B3" s="64" t="str">
        <f>Clases!B9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Clases!C9</f>
        <v>Clase que representa un cliente del sistema, extendiendo la información de persona con datos específicos de cliente.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54</v>
      </c>
      <c r="B9" s="70" t="s">
        <v>55</v>
      </c>
      <c r="C9" s="70"/>
      <c r="D9" s="70"/>
      <c r="E9" s="36" t="s">
        <v>17</v>
      </c>
    </row>
    <row r="10" spans="1:14">
      <c r="A10" s="9" t="s">
        <v>56</v>
      </c>
      <c r="B10" s="70" t="s">
        <v>55</v>
      </c>
      <c r="C10" s="70"/>
      <c r="D10" s="70"/>
      <c r="E10" s="36" t="s">
        <v>23</v>
      </c>
    </row>
    <row r="11" spans="1:14">
      <c r="A11" s="66" t="s">
        <v>57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</row>
    <row r="12" spans="1:14">
      <c r="A12" s="73" t="s">
        <v>58</v>
      </c>
      <c r="B12" s="71" t="s">
        <v>59</v>
      </c>
      <c r="C12" s="71" t="s">
        <v>60</v>
      </c>
      <c r="D12" s="71"/>
      <c r="E12" s="71" t="s">
        <v>61</v>
      </c>
      <c r="F12" s="71" t="s">
        <v>62</v>
      </c>
      <c r="G12" s="71" t="s">
        <v>63</v>
      </c>
      <c r="H12" s="71"/>
      <c r="I12" s="71"/>
      <c r="J12" s="71" t="s">
        <v>64</v>
      </c>
      <c r="K12" s="71"/>
      <c r="L12" s="71"/>
      <c r="M12" s="71"/>
      <c r="N12" s="72"/>
    </row>
    <row r="13" spans="1:14">
      <c r="A13" s="73"/>
      <c r="B13" s="71"/>
      <c r="C13" s="10" t="s">
        <v>60</v>
      </c>
      <c r="D13" s="10" t="s">
        <v>65</v>
      </c>
      <c r="E13" s="71"/>
      <c r="F13" s="71"/>
      <c r="G13" s="71"/>
      <c r="H13" s="71"/>
      <c r="I13" s="71"/>
      <c r="J13" s="71"/>
      <c r="K13" s="71"/>
      <c r="L13" s="71"/>
      <c r="M13" s="71"/>
      <c r="N13" s="72"/>
    </row>
    <row r="14" spans="1:14">
      <c r="A14" s="6" t="s">
        <v>66</v>
      </c>
      <c r="B14" s="3" t="s">
        <v>133</v>
      </c>
      <c r="C14" s="3" t="s">
        <v>68</v>
      </c>
      <c r="D14" s="3"/>
      <c r="E14" s="3" t="s">
        <v>49</v>
      </c>
      <c r="F14" s="3" t="s">
        <v>69</v>
      </c>
      <c r="G14" s="64"/>
      <c r="H14" s="64"/>
      <c r="I14" s="64"/>
      <c r="J14" s="64" t="s">
        <v>283</v>
      </c>
      <c r="K14" s="64"/>
      <c r="L14" s="64"/>
      <c r="M14" s="64"/>
      <c r="N14" s="65"/>
    </row>
    <row r="15" spans="1:14">
      <c r="A15" s="6" t="s">
        <v>66</v>
      </c>
      <c r="B15" s="3" t="s">
        <v>284</v>
      </c>
      <c r="C15" s="3" t="s">
        <v>72</v>
      </c>
      <c r="D15" s="3"/>
      <c r="E15" s="3" t="s">
        <v>49</v>
      </c>
      <c r="F15" s="3" t="s">
        <v>69</v>
      </c>
      <c r="G15" s="64"/>
      <c r="H15" s="64"/>
      <c r="I15" s="64"/>
      <c r="J15" s="64" t="s">
        <v>285</v>
      </c>
      <c r="K15" s="64"/>
      <c r="L15" s="64"/>
      <c r="M15" s="64"/>
      <c r="N15" s="65"/>
    </row>
    <row r="16" spans="1:14">
      <c r="A16" s="81" t="s">
        <v>85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</row>
    <row r="17" spans="1:14">
      <c r="A17" s="84" t="s">
        <v>58</v>
      </c>
      <c r="B17" s="79" t="s">
        <v>59</v>
      </c>
      <c r="C17" s="79" t="s">
        <v>86</v>
      </c>
      <c r="D17" s="79" t="s">
        <v>87</v>
      </c>
      <c r="E17" s="79" t="s">
        <v>88</v>
      </c>
      <c r="F17" s="79"/>
      <c r="G17" s="79"/>
      <c r="H17" s="79"/>
      <c r="I17" s="79"/>
      <c r="J17" s="79"/>
      <c r="K17" s="79"/>
      <c r="L17" s="79"/>
      <c r="M17" s="79" t="s">
        <v>89</v>
      </c>
      <c r="N17" s="80"/>
    </row>
    <row r="18" spans="1:14">
      <c r="A18" s="84"/>
      <c r="B18" s="79"/>
      <c r="C18" s="79"/>
      <c r="D18" s="79"/>
      <c r="E18" s="11" t="s">
        <v>59</v>
      </c>
      <c r="F18" s="11" t="s">
        <v>60</v>
      </c>
      <c r="G18" s="11" t="s">
        <v>65</v>
      </c>
      <c r="H18" s="11" t="s">
        <v>90</v>
      </c>
      <c r="I18" s="11" t="s">
        <v>61</v>
      </c>
      <c r="J18" s="79" t="s">
        <v>87</v>
      </c>
      <c r="K18" s="79"/>
      <c r="L18" s="79"/>
      <c r="M18" s="79"/>
      <c r="N18" s="80"/>
    </row>
    <row r="19" spans="1:14">
      <c r="A19" s="6" t="s">
        <v>66</v>
      </c>
      <c r="B19" s="3" t="str">
        <f>B2</f>
        <v>Cliente</v>
      </c>
      <c r="C19" s="3" t="s">
        <v>92</v>
      </c>
      <c r="D19" s="3" t="s">
        <v>286</v>
      </c>
      <c r="E19" s="3"/>
      <c r="F19" s="3"/>
      <c r="G19" s="3"/>
      <c r="H19" s="3"/>
      <c r="I19" s="3"/>
      <c r="J19" s="45"/>
      <c r="K19" s="48"/>
      <c r="L19" s="49"/>
      <c r="M19" s="45"/>
      <c r="N19" s="46"/>
    </row>
    <row r="20" spans="1:14">
      <c r="A20" s="103" t="s">
        <v>91</v>
      </c>
      <c r="B20" s="43" t="str">
        <f>B2</f>
        <v>Cliente</v>
      </c>
      <c r="C20" s="43" t="s">
        <v>97</v>
      </c>
      <c r="D20" s="43" t="s">
        <v>287</v>
      </c>
      <c r="E20" s="3" t="s">
        <v>133</v>
      </c>
      <c r="F20" s="3" t="s">
        <v>68</v>
      </c>
      <c r="G20" s="3"/>
      <c r="H20" s="3" t="s">
        <v>94</v>
      </c>
      <c r="I20" s="3" t="s">
        <v>49</v>
      </c>
      <c r="J20" s="45" t="s">
        <v>288</v>
      </c>
      <c r="K20" s="48"/>
      <c r="L20" s="49"/>
      <c r="M20" s="45"/>
      <c r="N20" s="46"/>
    </row>
    <row r="21" spans="1:14">
      <c r="A21" s="105"/>
      <c r="B21" s="44"/>
      <c r="C21" s="44"/>
      <c r="D21" s="44"/>
      <c r="E21" s="3" t="s">
        <v>284</v>
      </c>
      <c r="F21" s="3" t="s">
        <v>72</v>
      </c>
      <c r="G21" s="3"/>
      <c r="H21" s="3" t="s">
        <v>94</v>
      </c>
      <c r="I21" s="3" t="s">
        <v>49</v>
      </c>
      <c r="J21" s="109" t="s">
        <v>289</v>
      </c>
      <c r="K21" s="110"/>
      <c r="L21" s="111"/>
      <c r="M21" s="28"/>
      <c r="N21" s="31"/>
    </row>
    <row r="22" spans="1:14">
      <c r="A22" s="58" t="s">
        <v>101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60"/>
    </row>
    <row r="23" spans="1:14">
      <c r="A23" s="63" t="s">
        <v>58</v>
      </c>
      <c r="B23" s="47" t="s">
        <v>59</v>
      </c>
      <c r="C23" s="47" t="s">
        <v>102</v>
      </c>
      <c r="D23" s="47" t="s">
        <v>103</v>
      </c>
      <c r="E23" s="47" t="s">
        <v>87</v>
      </c>
      <c r="F23" s="47" t="s">
        <v>88</v>
      </c>
      <c r="G23" s="47"/>
      <c r="H23" s="47"/>
      <c r="I23" s="47"/>
      <c r="J23" s="47"/>
      <c r="K23" s="47"/>
      <c r="L23" s="47" t="s">
        <v>104</v>
      </c>
      <c r="M23" s="47"/>
      <c r="N23" s="61" t="s">
        <v>89</v>
      </c>
    </row>
    <row r="24" spans="1:14">
      <c r="A24" s="63"/>
      <c r="B24" s="47"/>
      <c r="C24" s="47"/>
      <c r="D24" s="47"/>
      <c r="E24" s="47"/>
      <c r="F24" s="12" t="s">
        <v>59</v>
      </c>
      <c r="G24" s="12" t="s">
        <v>60</v>
      </c>
      <c r="H24" s="12" t="s">
        <v>65</v>
      </c>
      <c r="I24" s="12" t="s">
        <v>90</v>
      </c>
      <c r="J24" s="12" t="s">
        <v>61</v>
      </c>
      <c r="K24" s="12" t="s">
        <v>87</v>
      </c>
      <c r="L24" s="12" t="s">
        <v>60</v>
      </c>
      <c r="M24" s="12" t="s">
        <v>65</v>
      </c>
      <c r="N24" s="61"/>
    </row>
    <row r="25" spans="1:14">
      <c r="A25" s="6" t="s">
        <v>91</v>
      </c>
      <c r="B25" s="3" t="s">
        <v>140</v>
      </c>
      <c r="C25" s="3" t="s">
        <v>106</v>
      </c>
      <c r="D25" s="3" t="s">
        <v>49</v>
      </c>
      <c r="E25" s="3" t="s">
        <v>141</v>
      </c>
      <c r="F25" s="3"/>
      <c r="G25" s="3"/>
      <c r="H25" s="3"/>
      <c r="I25" s="3"/>
      <c r="J25" s="3"/>
      <c r="K25" s="3"/>
      <c r="L25" s="3" t="s">
        <v>68</v>
      </c>
      <c r="M25" s="3"/>
      <c r="N25" s="7"/>
    </row>
    <row r="26" spans="1:14">
      <c r="A26" s="6" t="s">
        <v>91</v>
      </c>
      <c r="B26" s="3" t="s">
        <v>162</v>
      </c>
      <c r="C26" s="3" t="s">
        <v>112</v>
      </c>
      <c r="D26" s="3" t="s">
        <v>49</v>
      </c>
      <c r="E26" s="3" t="s">
        <v>163</v>
      </c>
      <c r="F26" s="3" t="s">
        <v>133</v>
      </c>
      <c r="G26" s="3" t="s">
        <v>68</v>
      </c>
      <c r="H26" s="3"/>
      <c r="I26" s="3" t="s">
        <v>94</v>
      </c>
      <c r="J26" s="3" t="s">
        <v>49</v>
      </c>
      <c r="K26" s="3" t="s">
        <v>151</v>
      </c>
      <c r="L26" s="3"/>
      <c r="M26" s="3"/>
      <c r="N26" s="7"/>
    </row>
    <row r="27" spans="1:14">
      <c r="A27" s="6" t="s">
        <v>91</v>
      </c>
      <c r="B27" t="s">
        <v>290</v>
      </c>
      <c r="C27" s="3" t="s">
        <v>106</v>
      </c>
      <c r="D27" s="3" t="s">
        <v>49</v>
      </c>
      <c r="E27" s="3" t="s">
        <v>291</v>
      </c>
      <c r="F27" s="3"/>
      <c r="G27" s="3"/>
      <c r="H27" s="3"/>
      <c r="I27" s="3"/>
      <c r="J27" s="3"/>
      <c r="K27" s="3"/>
      <c r="L27" s="3" t="s">
        <v>72</v>
      </c>
      <c r="M27" s="3"/>
      <c r="N27" s="7"/>
    </row>
    <row r="28" spans="1:14">
      <c r="A28" s="6" t="s">
        <v>91</v>
      </c>
      <c r="B28" s="3" t="s">
        <v>292</v>
      </c>
      <c r="C28" s="3" t="s">
        <v>112</v>
      </c>
      <c r="D28" s="3" t="s">
        <v>49</v>
      </c>
      <c r="E28" s="3" t="s">
        <v>293</v>
      </c>
      <c r="F28" s="3" t="s">
        <v>284</v>
      </c>
      <c r="G28" s="3" t="s">
        <v>72</v>
      </c>
      <c r="H28" s="3"/>
      <c r="I28" s="3" t="s">
        <v>94</v>
      </c>
      <c r="J28" s="3" t="s">
        <v>49</v>
      </c>
      <c r="K28" s="3" t="s">
        <v>294</v>
      </c>
      <c r="L28" s="3"/>
      <c r="M28" s="3"/>
      <c r="N28" s="7"/>
    </row>
    <row r="29" spans="1:14">
      <c r="A29" s="54" t="s">
        <v>118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6"/>
    </row>
    <row r="30" spans="1:14">
      <c r="A30" s="62" t="s">
        <v>58</v>
      </c>
      <c r="B30" s="53" t="s">
        <v>59</v>
      </c>
      <c r="C30" s="53" t="s">
        <v>119</v>
      </c>
      <c r="D30" s="53" t="s">
        <v>103</v>
      </c>
      <c r="E30" s="53" t="s">
        <v>87</v>
      </c>
      <c r="F30" s="53" t="s">
        <v>88</v>
      </c>
      <c r="G30" s="53"/>
      <c r="H30" s="53"/>
      <c r="I30" s="53"/>
      <c r="J30" s="53"/>
      <c r="K30" s="53"/>
      <c r="L30" s="53" t="s">
        <v>104</v>
      </c>
      <c r="M30" s="53"/>
      <c r="N30" s="57" t="s">
        <v>89</v>
      </c>
    </row>
    <row r="31" spans="1:14">
      <c r="A31" s="62"/>
      <c r="B31" s="53"/>
      <c r="C31" s="53"/>
      <c r="D31" s="53"/>
      <c r="E31" s="53"/>
      <c r="F31" s="13" t="s">
        <v>59</v>
      </c>
      <c r="G31" s="13" t="s">
        <v>60</v>
      </c>
      <c r="H31" s="13" t="s">
        <v>65</v>
      </c>
      <c r="I31" s="13" t="s">
        <v>90</v>
      </c>
      <c r="J31" s="13" t="s">
        <v>61</v>
      </c>
      <c r="K31" s="13" t="s">
        <v>87</v>
      </c>
      <c r="L31" s="13" t="s">
        <v>60</v>
      </c>
      <c r="M31" s="13" t="s">
        <v>65</v>
      </c>
      <c r="N31" s="57"/>
    </row>
    <row r="32" spans="1:14">
      <c r="A32" s="106" t="s">
        <v>91</v>
      </c>
      <c r="B32" s="106" t="s">
        <v>295</v>
      </c>
      <c r="C32" s="106" t="s">
        <v>69</v>
      </c>
      <c r="D32" s="106" t="s">
        <v>49</v>
      </c>
      <c r="E32" s="107" t="s">
        <v>296</v>
      </c>
      <c r="F32" s="3" t="s">
        <v>297</v>
      </c>
      <c r="G32" s="3" t="s">
        <v>72</v>
      </c>
      <c r="H32" s="3"/>
      <c r="I32" s="3" t="s">
        <v>94</v>
      </c>
      <c r="J32" s="3" t="s">
        <v>49</v>
      </c>
      <c r="K32" s="3" t="s">
        <v>298</v>
      </c>
      <c r="L32" s="3" t="s">
        <v>179</v>
      </c>
      <c r="M32" s="3"/>
      <c r="N32" s="7"/>
    </row>
    <row r="33" spans="1:14">
      <c r="A33" s="95"/>
      <c r="B33" s="95"/>
      <c r="C33" s="95"/>
      <c r="D33" s="95"/>
      <c r="E33" s="108"/>
      <c r="F33" s="3" t="s">
        <v>299</v>
      </c>
      <c r="G33" s="3" t="s">
        <v>196</v>
      </c>
      <c r="H33" s="3"/>
      <c r="I33" s="3" t="s">
        <v>94</v>
      </c>
      <c r="J33" s="3" t="s">
        <v>49</v>
      </c>
      <c r="K33" s="3" t="s">
        <v>300</v>
      </c>
      <c r="L33" s="3" t="s">
        <v>179</v>
      </c>
      <c r="M33" s="3"/>
      <c r="N33" s="7"/>
    </row>
  </sheetData>
  <mergeCells count="62">
    <mergeCell ref="A7:E7"/>
    <mergeCell ref="B8:D8"/>
    <mergeCell ref="B9:D9"/>
    <mergeCell ref="A11:N11"/>
    <mergeCell ref="A12:A13"/>
    <mergeCell ref="B12:B13"/>
    <mergeCell ref="C12:D12"/>
    <mergeCell ref="B6:E6"/>
    <mergeCell ref="A1:E1"/>
    <mergeCell ref="B2:E2"/>
    <mergeCell ref="B3:E3"/>
    <mergeCell ref="B4:E4"/>
    <mergeCell ref="B5:E5"/>
    <mergeCell ref="E12:E13"/>
    <mergeCell ref="F12:F13"/>
    <mergeCell ref="G12:I13"/>
    <mergeCell ref="J12:N13"/>
    <mergeCell ref="J15:N15"/>
    <mergeCell ref="G14:I14"/>
    <mergeCell ref="J14:N14"/>
    <mergeCell ref="G15:I15"/>
    <mergeCell ref="E23:E24"/>
    <mergeCell ref="A16:N16"/>
    <mergeCell ref="A17:A18"/>
    <mergeCell ref="B17:B18"/>
    <mergeCell ref="C17:C18"/>
    <mergeCell ref="D17:D18"/>
    <mergeCell ref="E17:L17"/>
    <mergeCell ref="M17:N18"/>
    <mergeCell ref="J18:L18"/>
    <mergeCell ref="J19:L19"/>
    <mergeCell ref="M19:N19"/>
    <mergeCell ref="J20:L20"/>
    <mergeCell ref="M20:N20"/>
    <mergeCell ref="J21:L21"/>
    <mergeCell ref="A22:N22"/>
    <mergeCell ref="B10:D10"/>
    <mergeCell ref="A20:A21"/>
    <mergeCell ref="B20:B21"/>
    <mergeCell ref="C20:C21"/>
    <mergeCell ref="D20:D21"/>
    <mergeCell ref="A32:A33"/>
    <mergeCell ref="B32:B33"/>
    <mergeCell ref="C32:C33"/>
    <mergeCell ref="D32:D33"/>
    <mergeCell ref="E32:E33"/>
    <mergeCell ref="L30:M30"/>
    <mergeCell ref="N30:N31"/>
    <mergeCell ref="F23:K23"/>
    <mergeCell ref="L23:M23"/>
    <mergeCell ref="N23:N24"/>
    <mergeCell ref="A29:N29"/>
    <mergeCell ref="A30:A31"/>
    <mergeCell ref="B30:B31"/>
    <mergeCell ref="C30:C31"/>
    <mergeCell ref="D30:D31"/>
    <mergeCell ref="E30:E31"/>
    <mergeCell ref="F30:K30"/>
    <mergeCell ref="A23:A24"/>
    <mergeCell ref="B23:B24"/>
    <mergeCell ref="C23:C24"/>
    <mergeCell ref="D23:D24"/>
  </mergeCells>
  <hyperlinks>
    <hyperlink ref="A1:E1" location="Clases!A1" display="&lt;-Volver al inicio" xr:uid="{EBC3D09A-7336-4931-9A46-B39AA2E93759}"/>
    <hyperlink ref="E9" location="'Persona'!B2" display="Persona" xr:uid="{BE34008D-3EDE-4C1B-9D1B-706FBA9F9C43}"/>
    <hyperlink ref="E10" location="'Venta'!B2" display="Venta" xr:uid="{F886E2B1-1EF7-4143-B5BF-0B766B96480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50336F6E-252A-4643-BF78-292A5D6B3A19}">
          <x14:formula1>
            <xm:f>Valores!$D$2:$D$3</xm:f>
          </x14:formula1>
          <xm:sqref>B5</xm:sqref>
        </x14:dataValidation>
        <x14:dataValidation type="list" allowBlank="1" showInputMessage="1" showErrorMessage="1" xr:uid="{CA49CFFF-2CD7-41D2-8D0D-E6811F7DCB28}">
          <x14:formula1>
            <xm:f>Valores!$E$2:$E$3</xm:f>
          </x14:formula1>
          <xm:sqref>B6 E14:E15 I19:I21 D25:D28 D32 J25:J28 J32:J33</xm:sqref>
        </x14:dataValidation>
        <x14:dataValidation type="list" allowBlank="1" showInputMessage="1" showErrorMessage="1" xr:uid="{A987FF50-FB88-4960-A694-5AE3B73C97E4}">
          <x14:formula1>
            <xm:f>Valores!$F$2:$F$5</xm:f>
          </x14:formula1>
          <xm:sqref>A14:A15 A19:A20 A25:A28 A32</xm:sqref>
        </x14:dataValidation>
        <x14:dataValidation type="list" allowBlank="1" showInputMessage="1" showErrorMessage="1" xr:uid="{37133966-6DF0-4B22-B2E0-663E7E8FDF2D}">
          <x14:formula1>
            <xm:f>Valores!$G$2:$G$12</xm:f>
          </x14:formula1>
          <xm:sqref>C14:C15 F19:F21 G25:G28 L25:L28 G32:G33</xm:sqref>
        </x14:dataValidation>
        <x14:dataValidation type="list" allowBlank="1" showInputMessage="1" showErrorMessage="1" xr:uid="{09DAAEEE-E358-4469-A241-9B9E3108CA4F}">
          <x14:formula1>
            <xm:f>Valores!$H$2:$H$3</xm:f>
          </x14:formula1>
          <xm:sqref>F14:F15 C32</xm:sqref>
        </x14:dataValidation>
        <x14:dataValidation type="list" allowBlank="1" showInputMessage="1" showErrorMessage="1" xr:uid="{30ECBFC6-D344-4C42-BF6C-A5FD40755F20}">
          <x14:formula1>
            <xm:f>Valores!$I$2:$I$3</xm:f>
          </x14:formula1>
          <xm:sqref>C19:C20</xm:sqref>
        </x14:dataValidation>
        <x14:dataValidation type="list" allowBlank="1" showInputMessage="1" showErrorMessage="1" xr:uid="{B58D79FA-2835-402B-975F-0067FD12551E}">
          <x14:formula1>
            <xm:f>Valores!$J$2:$J$3</xm:f>
          </x14:formula1>
          <xm:sqref>H19:H21 I25:I28 I32:I33</xm:sqref>
        </x14:dataValidation>
        <x14:dataValidation type="list" allowBlank="1" showInputMessage="1" showErrorMessage="1" xr:uid="{8AFADBCA-5F9A-444F-936D-6D3DE70F519D}">
          <x14:formula1>
            <xm:f>Valores!$K$2:$K$3</xm:f>
          </x14:formula1>
          <xm:sqref>C25:C28</xm:sqref>
        </x14:dataValidation>
        <x14:dataValidation type="list" allowBlank="1" showInputMessage="1" showErrorMessage="1" xr:uid="{710969A7-8B3A-4E88-BC79-C7853E9EB88F}">
          <x14:formula1>
            <xm:f>Valores!$L$2:$L$13</xm:f>
          </x14:formula1>
          <xm:sqref>L32:L33</xm:sqref>
        </x14:dataValidation>
        <x14:dataValidation type="list" allowBlank="1" showInputMessage="1" showErrorMessage="1" xr:uid="{B4A5DB69-193E-4023-A846-990A3B65A06E}">
          <x14:formula1>
            <xm:f>Valores!$B$2:$B$3</xm:f>
          </x14:formula1>
          <xm:sqref>A9:A10</xm:sqref>
        </x14:dataValidation>
        <x14:dataValidation type="list" allowBlank="1" showInputMessage="1" showErrorMessage="1" xr:uid="{A113C80B-776C-4E18-922E-7E70E8664949}">
          <x14:formula1>
            <xm:f>Valores!$C$2:$C$7</xm:f>
          </x14:formula1>
          <xm:sqref>B9:B10</xm:sqref>
        </x14:dataValidation>
        <x14:dataValidation type="list" allowBlank="1" showInputMessage="1" showErrorMessage="1" xr:uid="{08E24426-E888-4259-964D-09D3141D9009}">
          <x14:formula1>
            <xm:f>Clases!$A$2:$A$13</xm:f>
          </x14:formula1>
          <xm:sqref>E9:E10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6505A-7A8A-45A7-99CE-81525F62F2AC}">
  <dimension ref="A1:N30"/>
  <sheetViews>
    <sheetView zoomScale="55" zoomScaleNormal="55" workbookViewId="0">
      <pane ySplit="1" topLeftCell="A2" activePane="bottomLeft" state="frozen"/>
      <selection pane="bottomLeft" activeCell="A9" sqref="A9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85.1406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1.8554687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Clases!A10</f>
        <v>TipoIdentificacion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Clases!B10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Clases!C10</f>
        <v>Clase que representa el tipo de identificación que puede tener una persona en el sistema (Cédula, Pasaporte, NIT, etc.).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56</v>
      </c>
      <c r="B9" s="70" t="s">
        <v>55</v>
      </c>
      <c r="C9" s="70"/>
      <c r="D9" s="70"/>
      <c r="E9" s="36" t="s">
        <v>17</v>
      </c>
    </row>
    <row r="10" spans="1:14">
      <c r="A10" s="66" t="s">
        <v>57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1:14">
      <c r="A11" s="73" t="s">
        <v>58</v>
      </c>
      <c r="B11" s="71" t="s">
        <v>59</v>
      </c>
      <c r="C11" s="71" t="s">
        <v>60</v>
      </c>
      <c r="D11" s="71"/>
      <c r="E11" s="71" t="s">
        <v>61</v>
      </c>
      <c r="F11" s="71" t="s">
        <v>62</v>
      </c>
      <c r="G11" s="71" t="s">
        <v>63</v>
      </c>
      <c r="H11" s="71"/>
      <c r="I11" s="71"/>
      <c r="J11" s="71" t="s">
        <v>64</v>
      </c>
      <c r="K11" s="71"/>
      <c r="L11" s="71"/>
      <c r="M11" s="71"/>
      <c r="N11" s="72"/>
    </row>
    <row r="12" spans="1:14">
      <c r="A12" s="73"/>
      <c r="B12" s="71"/>
      <c r="C12" s="10" t="s">
        <v>60</v>
      </c>
      <c r="D12" s="10" t="s">
        <v>65</v>
      </c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4">
      <c r="A13" s="6" t="s">
        <v>66</v>
      </c>
      <c r="B13" s="3" t="s">
        <v>133</v>
      </c>
      <c r="C13" s="3" t="s">
        <v>68</v>
      </c>
      <c r="D13" s="3"/>
      <c r="E13" s="3" t="s">
        <v>49</v>
      </c>
      <c r="F13" s="3" t="s">
        <v>69</v>
      </c>
      <c r="G13" s="64"/>
      <c r="H13" s="64"/>
      <c r="I13" s="64"/>
      <c r="J13" s="64" t="s">
        <v>301</v>
      </c>
      <c r="K13" s="64"/>
      <c r="L13" s="64"/>
      <c r="M13" s="64"/>
      <c r="N13" s="65"/>
    </row>
    <row r="14" spans="1:14">
      <c r="A14" s="6" t="s">
        <v>66</v>
      </c>
      <c r="B14" s="3" t="s">
        <v>302</v>
      </c>
      <c r="C14" s="3" t="s">
        <v>72</v>
      </c>
      <c r="D14" s="3"/>
      <c r="E14" s="3" t="s">
        <v>49</v>
      </c>
      <c r="F14" s="3" t="s">
        <v>69</v>
      </c>
      <c r="G14" s="64"/>
      <c r="H14" s="64"/>
      <c r="I14" s="64"/>
      <c r="J14" s="64" t="s">
        <v>303</v>
      </c>
      <c r="K14" s="64"/>
      <c r="L14" s="64"/>
      <c r="M14" s="64"/>
      <c r="N14" s="65"/>
    </row>
    <row r="15" spans="1:14">
      <c r="A15" s="81" t="s">
        <v>85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3"/>
    </row>
    <row r="16" spans="1:14">
      <c r="A16" s="84" t="s">
        <v>58</v>
      </c>
      <c r="B16" s="79" t="s">
        <v>59</v>
      </c>
      <c r="C16" s="79" t="s">
        <v>86</v>
      </c>
      <c r="D16" s="79" t="s">
        <v>87</v>
      </c>
      <c r="E16" s="79" t="s">
        <v>88</v>
      </c>
      <c r="F16" s="79"/>
      <c r="G16" s="79"/>
      <c r="H16" s="79"/>
      <c r="I16" s="79"/>
      <c r="J16" s="79"/>
      <c r="K16" s="79"/>
      <c r="L16" s="79"/>
      <c r="M16" s="79" t="s">
        <v>89</v>
      </c>
      <c r="N16" s="80"/>
    </row>
    <row r="17" spans="1:14">
      <c r="A17" s="84"/>
      <c r="B17" s="79"/>
      <c r="C17" s="79"/>
      <c r="D17" s="79"/>
      <c r="E17" s="11" t="s">
        <v>59</v>
      </c>
      <c r="F17" s="11" t="s">
        <v>60</v>
      </c>
      <c r="G17" s="11" t="s">
        <v>65</v>
      </c>
      <c r="H17" s="11" t="s">
        <v>90</v>
      </c>
      <c r="I17" s="11" t="s">
        <v>61</v>
      </c>
      <c r="J17" s="79" t="s">
        <v>87</v>
      </c>
      <c r="K17" s="79"/>
      <c r="L17" s="79"/>
      <c r="M17" s="79"/>
      <c r="N17" s="80"/>
    </row>
    <row r="18" spans="1:14">
      <c r="A18" s="6" t="s">
        <v>91</v>
      </c>
      <c r="B18" s="3" t="str">
        <f>B2</f>
        <v>TipoIdentificacion</v>
      </c>
      <c r="C18" s="3" t="s">
        <v>92</v>
      </c>
      <c r="D18" s="3" t="s">
        <v>304</v>
      </c>
      <c r="E18" s="3"/>
      <c r="F18" s="3"/>
      <c r="G18" s="3"/>
      <c r="H18" s="3"/>
      <c r="I18" s="3"/>
      <c r="J18" s="45"/>
      <c r="K18" s="48"/>
      <c r="L18" s="49"/>
      <c r="M18" s="45"/>
      <c r="N18" s="46"/>
    </row>
    <row r="19" spans="1:14">
      <c r="A19" s="103" t="s">
        <v>91</v>
      </c>
      <c r="B19" s="43" t="str">
        <f>B2</f>
        <v>TipoIdentificacion</v>
      </c>
      <c r="C19" s="43" t="s">
        <v>97</v>
      </c>
      <c r="D19" s="43" t="s">
        <v>305</v>
      </c>
      <c r="E19" s="3" t="s">
        <v>133</v>
      </c>
      <c r="F19" s="3" t="s">
        <v>68</v>
      </c>
      <c r="G19" s="3"/>
      <c r="H19" s="3" t="s">
        <v>94</v>
      </c>
      <c r="I19" s="3" t="s">
        <v>49</v>
      </c>
      <c r="J19" s="45" t="s">
        <v>306</v>
      </c>
      <c r="K19" s="48"/>
      <c r="L19" s="49"/>
      <c r="M19" s="45"/>
      <c r="N19" s="46"/>
    </row>
    <row r="20" spans="1:14">
      <c r="A20" s="105"/>
      <c r="B20" s="44"/>
      <c r="C20" s="44"/>
      <c r="D20" s="44"/>
      <c r="E20" s="3" t="s">
        <v>302</v>
      </c>
      <c r="F20" s="3" t="s">
        <v>72</v>
      </c>
      <c r="G20" s="3"/>
      <c r="H20" s="3" t="s">
        <v>94</v>
      </c>
      <c r="I20" s="3" t="s">
        <v>49</v>
      </c>
      <c r="J20" s="45" t="s">
        <v>307</v>
      </c>
      <c r="K20" s="48"/>
      <c r="L20" s="49"/>
      <c r="M20" s="28"/>
      <c r="N20" s="31"/>
    </row>
    <row r="21" spans="1:14">
      <c r="A21" s="58" t="s">
        <v>101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1:14">
      <c r="A22" s="63" t="s">
        <v>58</v>
      </c>
      <c r="B22" s="47" t="s">
        <v>59</v>
      </c>
      <c r="C22" s="47" t="s">
        <v>102</v>
      </c>
      <c r="D22" s="47" t="s">
        <v>103</v>
      </c>
      <c r="E22" s="47" t="s">
        <v>87</v>
      </c>
      <c r="F22" s="47" t="s">
        <v>88</v>
      </c>
      <c r="G22" s="47"/>
      <c r="H22" s="47"/>
      <c r="I22" s="47"/>
      <c r="J22" s="47"/>
      <c r="K22" s="47"/>
      <c r="L22" s="47" t="s">
        <v>104</v>
      </c>
      <c r="M22" s="47"/>
      <c r="N22" s="61" t="s">
        <v>89</v>
      </c>
    </row>
    <row r="23" spans="1:14">
      <c r="A23" s="63"/>
      <c r="B23" s="47"/>
      <c r="C23" s="47"/>
      <c r="D23" s="47"/>
      <c r="E23" s="47"/>
      <c r="F23" s="12" t="s">
        <v>59</v>
      </c>
      <c r="G23" s="12" t="s">
        <v>60</v>
      </c>
      <c r="H23" s="12" t="s">
        <v>65</v>
      </c>
      <c r="I23" s="12" t="s">
        <v>90</v>
      </c>
      <c r="J23" s="12" t="s">
        <v>61</v>
      </c>
      <c r="K23" s="12" t="s">
        <v>87</v>
      </c>
      <c r="L23" s="12" t="s">
        <v>60</v>
      </c>
      <c r="M23" s="12" t="s">
        <v>65</v>
      </c>
      <c r="N23" s="61"/>
    </row>
    <row r="24" spans="1:14">
      <c r="A24" s="6" t="s">
        <v>91</v>
      </c>
      <c r="B24" s="3" t="s">
        <v>140</v>
      </c>
      <c r="C24" s="3" t="s">
        <v>106</v>
      </c>
      <c r="D24" s="3" t="s">
        <v>49</v>
      </c>
      <c r="E24" s="3" t="s">
        <v>141</v>
      </c>
      <c r="F24" s="3"/>
      <c r="G24" s="3"/>
      <c r="H24" s="3"/>
      <c r="I24" s="3"/>
      <c r="J24" s="3"/>
      <c r="K24"/>
      <c r="L24" s="3" t="s">
        <v>68</v>
      </c>
      <c r="M24" s="3"/>
      <c r="N24" s="7"/>
    </row>
    <row r="25" spans="1:14">
      <c r="A25" s="6" t="s">
        <v>91</v>
      </c>
      <c r="B25" s="3" t="s">
        <v>162</v>
      </c>
      <c r="C25" s="3" t="s">
        <v>112</v>
      </c>
      <c r="D25" s="3" t="s">
        <v>49</v>
      </c>
      <c r="E25" s="3" t="s">
        <v>163</v>
      </c>
      <c r="F25" s="3" t="s">
        <v>133</v>
      </c>
      <c r="G25" s="3" t="s">
        <v>68</v>
      </c>
      <c r="H25" s="3"/>
      <c r="I25" s="3" t="s">
        <v>94</v>
      </c>
      <c r="J25" s="3" t="s">
        <v>49</v>
      </c>
      <c r="K25" s="3" t="s">
        <v>151</v>
      </c>
      <c r="L25" s="3"/>
      <c r="M25" s="3"/>
      <c r="N25" s="7"/>
    </row>
    <row r="26" spans="1:14">
      <c r="A26" s="6" t="s">
        <v>91</v>
      </c>
      <c r="B26" s="3" t="s">
        <v>308</v>
      </c>
      <c r="C26" s="3" t="s">
        <v>106</v>
      </c>
      <c r="D26" s="3" t="s">
        <v>49</v>
      </c>
      <c r="E26" s="3" t="s">
        <v>309</v>
      </c>
      <c r="F26" s="3"/>
      <c r="G26" s="3"/>
      <c r="H26" s="3"/>
      <c r="I26" s="3"/>
      <c r="J26" s="3"/>
      <c r="K26" s="3"/>
      <c r="L26" s="3" t="s">
        <v>72</v>
      </c>
      <c r="M26" s="3"/>
      <c r="N26" s="7"/>
    </row>
    <row r="27" spans="1:14">
      <c r="A27" s="6" t="s">
        <v>91</v>
      </c>
      <c r="B27" s="3" t="s">
        <v>310</v>
      </c>
      <c r="C27" s="3" t="s">
        <v>112</v>
      </c>
      <c r="D27" s="3" t="s">
        <v>49</v>
      </c>
      <c r="E27" s="3" t="s">
        <v>311</v>
      </c>
      <c r="F27" s="3" t="s">
        <v>312</v>
      </c>
      <c r="G27" s="3" t="s">
        <v>72</v>
      </c>
      <c r="H27" s="3"/>
      <c r="I27" s="3" t="s">
        <v>94</v>
      </c>
      <c r="J27" s="3" t="s">
        <v>49</v>
      </c>
      <c r="K27" s="3" t="s">
        <v>307</v>
      </c>
      <c r="L27" s="3"/>
      <c r="M27" s="3"/>
      <c r="N27" s="7"/>
    </row>
    <row r="28" spans="1:14">
      <c r="A28" s="54" t="s">
        <v>118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6"/>
    </row>
    <row r="29" spans="1:14">
      <c r="A29" s="62" t="s">
        <v>58</v>
      </c>
      <c r="B29" s="53" t="s">
        <v>59</v>
      </c>
      <c r="C29" s="53" t="s">
        <v>119</v>
      </c>
      <c r="D29" s="53" t="s">
        <v>103</v>
      </c>
      <c r="E29" s="53" t="s">
        <v>87</v>
      </c>
      <c r="F29" s="53" t="s">
        <v>88</v>
      </c>
      <c r="G29" s="53"/>
      <c r="H29" s="53"/>
      <c r="I29" s="53"/>
      <c r="J29" s="53"/>
      <c r="K29" s="53"/>
      <c r="L29" s="53" t="s">
        <v>104</v>
      </c>
      <c r="M29" s="53"/>
      <c r="N29" s="57" t="s">
        <v>89</v>
      </c>
    </row>
    <row r="30" spans="1:14">
      <c r="A30" s="62"/>
      <c r="B30" s="53"/>
      <c r="C30" s="53"/>
      <c r="D30" s="53"/>
      <c r="E30" s="53"/>
      <c r="F30" s="13" t="s">
        <v>59</v>
      </c>
      <c r="G30" s="13" t="s">
        <v>60</v>
      </c>
      <c r="H30" s="13" t="s">
        <v>65</v>
      </c>
      <c r="I30" s="13" t="s">
        <v>90</v>
      </c>
      <c r="J30" s="13" t="s">
        <v>61</v>
      </c>
      <c r="K30" s="13" t="s">
        <v>87</v>
      </c>
      <c r="L30" s="13" t="s">
        <v>60</v>
      </c>
      <c r="M30" s="13" t="s">
        <v>65</v>
      </c>
      <c r="N30" s="57"/>
    </row>
  </sheetData>
  <mergeCells count="56">
    <mergeCell ref="A7:E7"/>
    <mergeCell ref="B8:D8"/>
    <mergeCell ref="B9:D9"/>
    <mergeCell ref="A10:N10"/>
    <mergeCell ref="A11:A12"/>
    <mergeCell ref="B11:B12"/>
    <mergeCell ref="C11:D11"/>
    <mergeCell ref="B6:E6"/>
    <mergeCell ref="A1:E1"/>
    <mergeCell ref="B2:E2"/>
    <mergeCell ref="B3:E3"/>
    <mergeCell ref="B4:E4"/>
    <mergeCell ref="B5:E5"/>
    <mergeCell ref="J20:L20"/>
    <mergeCell ref="A19:A20"/>
    <mergeCell ref="B19:B20"/>
    <mergeCell ref="E11:E12"/>
    <mergeCell ref="F11:F12"/>
    <mergeCell ref="G11:I12"/>
    <mergeCell ref="J11:N12"/>
    <mergeCell ref="J14:N14"/>
    <mergeCell ref="G13:I13"/>
    <mergeCell ref="J13:N13"/>
    <mergeCell ref="G14:I14"/>
    <mergeCell ref="B22:B23"/>
    <mergeCell ref="C22:C23"/>
    <mergeCell ref="D22:D23"/>
    <mergeCell ref="E22:E23"/>
    <mergeCell ref="A15:N15"/>
    <mergeCell ref="A16:A17"/>
    <mergeCell ref="B16:B17"/>
    <mergeCell ref="C16:C17"/>
    <mergeCell ref="D16:D17"/>
    <mergeCell ref="E16:L16"/>
    <mergeCell ref="M16:N17"/>
    <mergeCell ref="J17:L17"/>
    <mergeCell ref="J18:L18"/>
    <mergeCell ref="M18:N18"/>
    <mergeCell ref="J19:L19"/>
    <mergeCell ref="M19:N19"/>
    <mergeCell ref="C19:C20"/>
    <mergeCell ref="D19:D20"/>
    <mergeCell ref="A21:N21"/>
    <mergeCell ref="L29:M29"/>
    <mergeCell ref="N29:N30"/>
    <mergeCell ref="F22:K22"/>
    <mergeCell ref="L22:M22"/>
    <mergeCell ref="N22:N23"/>
    <mergeCell ref="A28:N28"/>
    <mergeCell ref="A29:A30"/>
    <mergeCell ref="B29:B30"/>
    <mergeCell ref="C29:C30"/>
    <mergeCell ref="D29:D30"/>
    <mergeCell ref="E29:E30"/>
    <mergeCell ref="F29:K29"/>
    <mergeCell ref="A22:A23"/>
  </mergeCells>
  <hyperlinks>
    <hyperlink ref="A1:E1" location="Clases!A1" display="&lt;-Volver al inicio" xr:uid="{0860FC1D-CBB3-4799-B384-FEF347AEED63}"/>
    <hyperlink ref="E9" location="'Persona'!B2" display="Persona" xr:uid="{0A691900-EC16-4386-A1EB-D9241A9F6E46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DB6702DF-CE4A-441B-BFC6-55B37D0320E3}">
          <x14:formula1>
            <xm:f>Clases!$A$2:$A$13</xm:f>
          </x14:formula1>
          <xm:sqref>E9</xm:sqref>
        </x14:dataValidation>
        <x14:dataValidation type="list" allowBlank="1" showInputMessage="1" showErrorMessage="1" xr:uid="{F736F40E-845B-4ACE-95BD-6DCFC4B470A0}">
          <x14:formula1>
            <xm:f>Valores!$C$2:$C$7</xm:f>
          </x14:formula1>
          <xm:sqref>B9</xm:sqref>
        </x14:dataValidation>
        <x14:dataValidation type="list" allowBlank="1" showInputMessage="1" showErrorMessage="1" xr:uid="{25AD3DED-E8B2-4CC1-96F1-34F10024104D}">
          <x14:formula1>
            <xm:f>Valores!$B$2:$B$3</xm:f>
          </x14:formula1>
          <xm:sqref>A9</xm:sqref>
        </x14:dataValidation>
        <x14:dataValidation type="list" allowBlank="1" showInputMessage="1" showErrorMessage="1" xr:uid="{53E59242-3282-41E1-B2BB-988C5FA8181E}">
          <x14:formula1>
            <xm:f>Valores!$K$2:$K$3</xm:f>
          </x14:formula1>
          <xm:sqref>C24:C27</xm:sqref>
        </x14:dataValidation>
        <x14:dataValidation type="list" allowBlank="1" showInputMessage="1" showErrorMessage="1" xr:uid="{C6C73BE4-4EAB-4D07-BA3D-E24A719537F1}">
          <x14:formula1>
            <xm:f>Valores!$J$2:$J$3</xm:f>
          </x14:formula1>
          <xm:sqref>H18:H20 I24:I27</xm:sqref>
        </x14:dataValidation>
        <x14:dataValidation type="list" allowBlank="1" showInputMessage="1" showErrorMessage="1" xr:uid="{6B638635-691A-4799-9102-6521ABC7E20C}">
          <x14:formula1>
            <xm:f>Valores!$I$2:$I$3</xm:f>
          </x14:formula1>
          <xm:sqref>C18:C19</xm:sqref>
        </x14:dataValidation>
        <x14:dataValidation type="list" allowBlank="1" showInputMessage="1" showErrorMessage="1" xr:uid="{30B29A44-64B3-4BC9-B4CC-7A96AF77A5D7}">
          <x14:formula1>
            <xm:f>Valores!$H$2:$H$3</xm:f>
          </x14:formula1>
          <xm:sqref>F13:F14</xm:sqref>
        </x14:dataValidation>
        <x14:dataValidation type="list" allowBlank="1" showInputMessage="1" showErrorMessage="1" xr:uid="{0D585542-5335-41F7-9A85-2CB3CB150D4E}">
          <x14:formula1>
            <xm:f>Valores!$G$2:$G$12</xm:f>
          </x14:formula1>
          <xm:sqref>C13:C14 F18:F20 L24:L27 G24:G27</xm:sqref>
        </x14:dataValidation>
        <x14:dataValidation type="list" allowBlank="1" showInputMessage="1" showErrorMessage="1" xr:uid="{896C2002-4D72-4441-8F42-0441B2BAB8ED}">
          <x14:formula1>
            <xm:f>Valores!$F$2:$F$5</xm:f>
          </x14:formula1>
          <xm:sqref>A13:A14 A24:A27 A18:A19</xm:sqref>
        </x14:dataValidation>
        <x14:dataValidation type="list" allowBlank="1" showInputMessage="1" showErrorMessage="1" xr:uid="{B72EBE76-7E5F-4185-9653-3B2934A2EC7A}">
          <x14:formula1>
            <xm:f>Valores!$E$2:$E$3</xm:f>
          </x14:formula1>
          <xm:sqref>B6 E13:E14 D24:D27 J24:J27 I18:I20</xm:sqref>
        </x14:dataValidation>
        <x14:dataValidation type="list" allowBlank="1" showInputMessage="1" showErrorMessage="1" xr:uid="{27DA56A9-6402-4189-87C9-AE88976D00B4}">
          <x14:formula1>
            <xm:f>Valores!$D$2:$D$3</xm:f>
          </x14:formula1>
          <xm:sqref>B5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01213-2ED3-4165-A433-D37C5D141512}">
  <dimension ref="A1:N44"/>
  <sheetViews>
    <sheetView zoomScale="55" zoomScaleNormal="55" workbookViewId="0">
      <pane ySplit="1" topLeftCell="A27" activePane="bottomLeft" state="frozen"/>
      <selection pane="bottomLeft" activeCell="A54" sqref="A54"/>
    </sheetView>
  </sheetViews>
  <sheetFormatPr defaultColWidth="19.7109375" defaultRowHeight="15"/>
  <cols>
    <col min="1" max="1" width="28.7109375" style="1" customWidth="1"/>
    <col min="2" max="2" width="31.85546875" style="1" customWidth="1"/>
    <col min="3" max="3" width="27.140625" style="1" bestFit="1" customWidth="1"/>
    <col min="4" max="4" width="79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1.7109375" style="1" customWidth="1"/>
    <col min="12" max="12" width="17.5703125" style="1" bestFit="1" customWidth="1"/>
    <col min="13" max="13" width="16.140625" style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Clases!A11</f>
        <v>Venta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Clases!B11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Clases!C11</f>
        <v xml:space="preserve"> Clase que representa una venta realizada en el sistema, incluyendo información del cliente, estado, total y fecha de la transacción.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56</v>
      </c>
      <c r="B9" s="70" t="s">
        <v>55</v>
      </c>
      <c r="C9" s="70"/>
      <c r="D9" s="70"/>
      <c r="E9" s="36" t="s">
        <v>19</v>
      </c>
    </row>
    <row r="10" spans="1:14">
      <c r="A10" t="s">
        <v>313</v>
      </c>
      <c r="B10" s="112" t="s">
        <v>55</v>
      </c>
      <c r="C10" s="113"/>
      <c r="D10" s="114"/>
      <c r="E10" s="1" t="s">
        <v>314</v>
      </c>
    </row>
    <row r="11" spans="1:14">
      <c r="A11" s="32" t="s">
        <v>54</v>
      </c>
      <c r="B11" s="100" t="s">
        <v>185</v>
      </c>
      <c r="C11" s="101"/>
      <c r="D11" s="102"/>
      <c r="E11" s="37" t="s">
        <v>27</v>
      </c>
    </row>
    <row r="12" spans="1:14">
      <c r="A12" s="66" t="s">
        <v>57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8"/>
    </row>
    <row r="13" spans="1:14">
      <c r="A13" s="73" t="s">
        <v>58</v>
      </c>
      <c r="B13" s="71" t="s">
        <v>59</v>
      </c>
      <c r="C13" s="71" t="s">
        <v>60</v>
      </c>
      <c r="D13" s="71"/>
      <c r="E13" s="71" t="s">
        <v>61</v>
      </c>
      <c r="F13" s="71" t="s">
        <v>62</v>
      </c>
      <c r="G13" s="71" t="s">
        <v>63</v>
      </c>
      <c r="H13" s="71"/>
      <c r="I13" s="71"/>
      <c r="J13" s="71" t="s">
        <v>64</v>
      </c>
      <c r="K13" s="71"/>
      <c r="L13" s="71"/>
      <c r="M13" s="71"/>
      <c r="N13" s="72"/>
    </row>
    <row r="14" spans="1:14">
      <c r="A14" s="73"/>
      <c r="B14" s="71"/>
      <c r="C14" s="10" t="s">
        <v>60</v>
      </c>
      <c r="D14" s="10" t="s">
        <v>65</v>
      </c>
      <c r="E14" s="71"/>
      <c r="F14" s="71"/>
      <c r="G14" s="71"/>
      <c r="H14" s="71"/>
      <c r="I14" s="71"/>
      <c r="J14" s="71"/>
      <c r="K14" s="71"/>
      <c r="L14" s="71"/>
      <c r="M14" s="71"/>
      <c r="N14" s="72"/>
    </row>
    <row r="15" spans="1:14">
      <c r="A15" s="6" t="s">
        <v>66</v>
      </c>
      <c r="B15" s="3" t="s">
        <v>133</v>
      </c>
      <c r="C15" s="3" t="s">
        <v>68</v>
      </c>
      <c r="D15" s="3"/>
      <c r="E15" s="3" t="s">
        <v>49</v>
      </c>
      <c r="F15" s="3" t="s">
        <v>69</v>
      </c>
      <c r="G15" s="64"/>
      <c r="H15" s="64"/>
      <c r="I15" s="64"/>
      <c r="J15" s="64" t="s">
        <v>315</v>
      </c>
      <c r="K15" s="64"/>
      <c r="L15" s="64"/>
      <c r="M15" s="64"/>
      <c r="N15" s="65"/>
    </row>
    <row r="16" spans="1:14">
      <c r="A16" s="6" t="s">
        <v>66</v>
      </c>
      <c r="B16" s="3" t="s">
        <v>316</v>
      </c>
      <c r="C16" s="3" t="s">
        <v>196</v>
      </c>
      <c r="D16" s="3" t="s">
        <v>317</v>
      </c>
      <c r="E16" s="3" t="s">
        <v>49</v>
      </c>
      <c r="F16" s="3" t="s">
        <v>69</v>
      </c>
      <c r="G16" s="64"/>
      <c r="H16" s="64"/>
      <c r="I16" s="64"/>
      <c r="J16" s="64" t="s">
        <v>318</v>
      </c>
      <c r="K16" s="64"/>
      <c r="L16" s="64"/>
      <c r="M16" s="64"/>
      <c r="N16" s="65"/>
    </row>
    <row r="17" spans="1:14">
      <c r="A17" s="6" t="s">
        <v>66</v>
      </c>
      <c r="B17" s="3" t="s">
        <v>319</v>
      </c>
      <c r="C17" s="3" t="s">
        <v>75</v>
      </c>
      <c r="D17" s="3" t="s">
        <v>314</v>
      </c>
      <c r="E17" s="3" t="s">
        <v>49</v>
      </c>
      <c r="F17" s="3" t="s">
        <v>69</v>
      </c>
      <c r="G17" s="64"/>
      <c r="H17" s="64"/>
      <c r="I17" s="64"/>
      <c r="J17" s="64" t="s">
        <v>320</v>
      </c>
      <c r="K17" s="64"/>
      <c r="L17" s="64"/>
      <c r="M17" s="64"/>
      <c r="N17" s="65"/>
    </row>
    <row r="18" spans="1:14">
      <c r="A18" s="6" t="s">
        <v>66</v>
      </c>
      <c r="B18" s="3" t="s">
        <v>321</v>
      </c>
      <c r="C18" s="3" t="s">
        <v>75</v>
      </c>
      <c r="D18" s="3" t="s">
        <v>76</v>
      </c>
      <c r="E18" s="3" t="s">
        <v>49</v>
      </c>
      <c r="F18" s="3" t="s">
        <v>69</v>
      </c>
      <c r="G18" s="64"/>
      <c r="H18" s="64"/>
      <c r="I18" s="64"/>
      <c r="J18" s="64" t="s">
        <v>322</v>
      </c>
      <c r="K18" s="64"/>
      <c r="L18" s="64"/>
      <c r="M18" s="64"/>
      <c r="N18" s="65"/>
    </row>
    <row r="19" spans="1:14">
      <c r="A19" s="81" t="s">
        <v>85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3"/>
    </row>
    <row r="20" spans="1:14">
      <c r="A20" s="84" t="s">
        <v>58</v>
      </c>
      <c r="B20" s="79" t="s">
        <v>59</v>
      </c>
      <c r="C20" s="79" t="s">
        <v>86</v>
      </c>
      <c r="D20" s="79" t="s">
        <v>87</v>
      </c>
      <c r="E20" s="79" t="s">
        <v>88</v>
      </c>
      <c r="F20" s="79"/>
      <c r="G20" s="79"/>
      <c r="H20" s="79"/>
      <c r="I20" s="79"/>
      <c r="J20" s="79"/>
      <c r="K20" s="79"/>
      <c r="L20" s="79"/>
      <c r="M20" s="79" t="s">
        <v>89</v>
      </c>
      <c r="N20" s="80"/>
    </row>
    <row r="21" spans="1:14">
      <c r="A21" s="84"/>
      <c r="B21" s="79"/>
      <c r="C21" s="79"/>
      <c r="D21" s="79"/>
      <c r="E21" s="11" t="s">
        <v>59</v>
      </c>
      <c r="F21" s="11" t="s">
        <v>60</v>
      </c>
      <c r="G21" s="11" t="s">
        <v>65</v>
      </c>
      <c r="H21" s="11" t="s">
        <v>90</v>
      </c>
      <c r="I21" s="11" t="s">
        <v>61</v>
      </c>
      <c r="J21" s="79" t="s">
        <v>87</v>
      </c>
      <c r="K21" s="79"/>
      <c r="L21" s="79"/>
      <c r="M21" s="79"/>
      <c r="N21" s="80"/>
    </row>
    <row r="22" spans="1:14">
      <c r="A22" s="6" t="s">
        <v>66</v>
      </c>
      <c r="B22" s="3" t="str">
        <f>B2</f>
        <v>Venta</v>
      </c>
      <c r="C22" s="3" t="s">
        <v>92</v>
      </c>
      <c r="D22" s="3" t="s">
        <v>323</v>
      </c>
      <c r="E22" s="3"/>
      <c r="F22" s="3"/>
      <c r="G22" s="3"/>
      <c r="H22" s="3"/>
      <c r="I22" s="3"/>
      <c r="J22" s="45"/>
      <c r="K22" s="48"/>
      <c r="L22" s="49"/>
      <c r="M22" s="45"/>
      <c r="N22" s="46"/>
    </row>
    <row r="23" spans="1:14">
      <c r="A23" s="6" t="s">
        <v>91</v>
      </c>
      <c r="B23" s="43" t="str">
        <f>B2</f>
        <v>Venta</v>
      </c>
      <c r="C23" s="3" t="s">
        <v>97</v>
      </c>
      <c r="D23" s="43" t="s">
        <v>324</v>
      </c>
      <c r="E23" s="3" t="s">
        <v>133</v>
      </c>
      <c r="F23" s="3" t="s">
        <v>68</v>
      </c>
      <c r="G23" s="3"/>
      <c r="H23" s="3" t="s">
        <v>94</v>
      </c>
      <c r="I23" s="3" t="s">
        <v>49</v>
      </c>
      <c r="J23" s="45" t="s">
        <v>325</v>
      </c>
      <c r="K23" s="48"/>
      <c r="L23" s="49"/>
      <c r="M23" s="45"/>
      <c r="N23" s="46"/>
    </row>
    <row r="24" spans="1:14">
      <c r="A24" s="6" t="s">
        <v>91</v>
      </c>
      <c r="B24" s="85"/>
      <c r="C24" s="3" t="s">
        <v>97</v>
      </c>
      <c r="D24" s="85"/>
      <c r="E24" s="3" t="s">
        <v>316</v>
      </c>
      <c r="F24" s="3" t="s">
        <v>75</v>
      </c>
      <c r="G24" s="3" t="s">
        <v>326</v>
      </c>
      <c r="H24" s="3" t="s">
        <v>94</v>
      </c>
      <c r="I24" s="3" t="s">
        <v>49</v>
      </c>
      <c r="J24" s="28" t="s">
        <v>327</v>
      </c>
      <c r="K24" s="92"/>
      <c r="L24" s="93"/>
      <c r="M24" s="28"/>
      <c r="N24" s="31"/>
    </row>
    <row r="25" spans="1:14">
      <c r="A25" s="6" t="s">
        <v>91</v>
      </c>
      <c r="B25" s="85"/>
      <c r="C25" s="3" t="s">
        <v>97</v>
      </c>
      <c r="D25" s="85"/>
      <c r="E25" s="3" t="s">
        <v>319</v>
      </c>
      <c r="F25" s="3" t="s">
        <v>75</v>
      </c>
      <c r="G25" s="3" t="s">
        <v>314</v>
      </c>
      <c r="H25" s="3" t="s">
        <v>94</v>
      </c>
      <c r="I25" s="3" t="s">
        <v>49</v>
      </c>
      <c r="J25" s="45" t="s">
        <v>328</v>
      </c>
      <c r="K25" s="48"/>
      <c r="L25" s="49"/>
      <c r="M25" s="28"/>
      <c r="N25" s="31"/>
    </row>
    <row r="26" spans="1:14">
      <c r="A26" s="6" t="s">
        <v>91</v>
      </c>
      <c r="B26" s="44"/>
      <c r="C26" s="3" t="s">
        <v>97</v>
      </c>
      <c r="D26" s="44"/>
      <c r="E26" s="3" t="s">
        <v>321</v>
      </c>
      <c r="F26" s="3" t="s">
        <v>75</v>
      </c>
      <c r="G26" s="3" t="s">
        <v>76</v>
      </c>
      <c r="H26" s="3" t="s">
        <v>94</v>
      </c>
      <c r="I26" s="3" t="s">
        <v>49</v>
      </c>
      <c r="J26" s="45" t="s">
        <v>329</v>
      </c>
      <c r="K26" s="48"/>
      <c r="L26" s="49"/>
      <c r="M26" s="28"/>
      <c r="N26" s="31"/>
    </row>
    <row r="27" spans="1:14">
      <c r="A27" s="58" t="s">
        <v>101</v>
      </c>
      <c r="B27" s="59"/>
      <c r="C27" s="59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60"/>
    </row>
    <row r="28" spans="1:14">
      <c r="A28" s="63" t="s">
        <v>58</v>
      </c>
      <c r="B28" s="47" t="s">
        <v>59</v>
      </c>
      <c r="C28" s="47" t="s">
        <v>102</v>
      </c>
      <c r="D28" s="47" t="s">
        <v>103</v>
      </c>
      <c r="E28" s="47" t="s">
        <v>87</v>
      </c>
      <c r="F28" s="47" t="s">
        <v>88</v>
      </c>
      <c r="G28" s="47"/>
      <c r="H28" s="47"/>
      <c r="I28" s="47"/>
      <c r="J28" s="47"/>
      <c r="K28" s="47"/>
      <c r="L28" s="47" t="s">
        <v>104</v>
      </c>
      <c r="M28" s="47"/>
      <c r="N28" s="61" t="s">
        <v>89</v>
      </c>
    </row>
    <row r="29" spans="1:14">
      <c r="A29" s="63"/>
      <c r="B29" s="47"/>
      <c r="C29" s="47"/>
      <c r="D29" s="47"/>
      <c r="E29" s="47"/>
      <c r="F29" s="12" t="s">
        <v>59</v>
      </c>
      <c r="G29" s="12" t="s">
        <v>60</v>
      </c>
      <c r="H29" s="12" t="s">
        <v>65</v>
      </c>
      <c r="I29" s="12" t="s">
        <v>90</v>
      </c>
      <c r="J29" s="12" t="s">
        <v>61</v>
      </c>
      <c r="K29" s="12" t="s">
        <v>87</v>
      </c>
      <c r="L29" s="12" t="s">
        <v>60</v>
      </c>
      <c r="M29" s="12" t="s">
        <v>65</v>
      </c>
      <c r="N29" s="61"/>
    </row>
    <row r="30" spans="1:14">
      <c r="A30" s="6" t="s">
        <v>91</v>
      </c>
      <c r="B30" s="3" t="s">
        <v>140</v>
      </c>
      <c r="C30" s="3" t="s">
        <v>106</v>
      </c>
      <c r="D30" s="3" t="s">
        <v>49</v>
      </c>
      <c r="E30" s="3" t="s">
        <v>330</v>
      </c>
      <c r="F30" s="3"/>
      <c r="G30" s="3"/>
      <c r="H30" s="3"/>
      <c r="I30" s="3"/>
      <c r="J30" s="3"/>
      <c r="K30" s="3"/>
      <c r="L30" s="3" t="s">
        <v>68</v>
      </c>
      <c r="M30" s="3"/>
      <c r="N30" s="7"/>
    </row>
    <row r="31" spans="1:14">
      <c r="A31" s="6" t="s">
        <v>91</v>
      </c>
      <c r="B31" s="3" t="s">
        <v>162</v>
      </c>
      <c r="C31" s="3" t="s">
        <v>112</v>
      </c>
      <c r="D31" s="3" t="s">
        <v>49</v>
      </c>
      <c r="E31" s="3" t="s">
        <v>331</v>
      </c>
      <c r="F31" s="3" t="s">
        <v>133</v>
      </c>
      <c r="G31" s="3" t="s">
        <v>110</v>
      </c>
      <c r="H31" s="3"/>
      <c r="I31" s="3" t="s">
        <v>94</v>
      </c>
      <c r="J31" s="3" t="s">
        <v>49</v>
      </c>
      <c r="K31" s="3" t="s">
        <v>151</v>
      </c>
      <c r="L31" s="3"/>
      <c r="M31" s="3"/>
      <c r="N31" s="7"/>
    </row>
    <row r="32" spans="1:14">
      <c r="A32" s="6" t="s">
        <v>91</v>
      </c>
      <c r="B32" s="3" t="s">
        <v>332</v>
      </c>
      <c r="C32" s="3" t="s">
        <v>106</v>
      </c>
      <c r="D32" s="3" t="s">
        <v>49</v>
      </c>
      <c r="E32" s="3" t="s">
        <v>330</v>
      </c>
      <c r="F32" s="3"/>
      <c r="G32" s="3"/>
      <c r="H32" s="3"/>
      <c r="I32" s="3"/>
      <c r="J32" s="3"/>
      <c r="K32" s="3"/>
      <c r="L32" s="3" t="s">
        <v>75</v>
      </c>
      <c r="M32" s="3" t="s">
        <v>326</v>
      </c>
      <c r="N32" s="7"/>
    </row>
    <row r="33" spans="1:14">
      <c r="A33" s="6" t="s">
        <v>91</v>
      </c>
      <c r="B33" s="3" t="s">
        <v>333</v>
      </c>
      <c r="C33" s="3" t="s">
        <v>112</v>
      </c>
      <c r="D33" s="3" t="s">
        <v>49</v>
      </c>
      <c r="E33" s="3" t="s">
        <v>331</v>
      </c>
      <c r="F33" s="3" t="s">
        <v>316</v>
      </c>
      <c r="G33" s="3" t="s">
        <v>75</v>
      </c>
      <c r="H33" s="3" t="s">
        <v>326</v>
      </c>
      <c r="I33" s="3" t="s">
        <v>94</v>
      </c>
      <c r="J33" s="3" t="s">
        <v>49</v>
      </c>
      <c r="K33" s="3" t="s">
        <v>334</v>
      </c>
      <c r="L33" s="3"/>
      <c r="M33" s="3"/>
      <c r="N33" s="7"/>
    </row>
    <row r="34" spans="1:14">
      <c r="A34" s="6" t="s">
        <v>91</v>
      </c>
      <c r="B34" s="3" t="s">
        <v>335</v>
      </c>
      <c r="C34" s="3" t="s">
        <v>106</v>
      </c>
      <c r="D34" s="3" t="s">
        <v>49</v>
      </c>
      <c r="E34" s="3" t="s">
        <v>330</v>
      </c>
      <c r="F34" s="3"/>
      <c r="G34" s="3"/>
      <c r="H34" s="3"/>
      <c r="I34" s="3"/>
      <c r="J34" s="3"/>
      <c r="K34" s="3"/>
      <c r="L34" s="3" t="s">
        <v>75</v>
      </c>
      <c r="M34" s="3" t="s">
        <v>314</v>
      </c>
      <c r="N34" s="7"/>
    </row>
    <row r="35" spans="1:14">
      <c r="A35" s="6" t="s">
        <v>91</v>
      </c>
      <c r="B35" s="3" t="s">
        <v>336</v>
      </c>
      <c r="C35" s="3" t="s">
        <v>112</v>
      </c>
      <c r="D35" s="3" t="s">
        <v>49</v>
      </c>
      <c r="E35" s="3" t="s">
        <v>331</v>
      </c>
      <c r="F35" s="3" t="s">
        <v>319</v>
      </c>
      <c r="G35" s="3" t="s">
        <v>75</v>
      </c>
      <c r="H35" s="3" t="s">
        <v>314</v>
      </c>
      <c r="I35" s="3" t="s">
        <v>94</v>
      </c>
      <c r="J35" s="3" t="s">
        <v>49</v>
      </c>
      <c r="K35" s="3" t="s">
        <v>337</v>
      </c>
      <c r="L35" s="3"/>
      <c r="M35" s="3"/>
      <c r="N35" s="7"/>
    </row>
    <row r="36" spans="1:14">
      <c r="A36" s="6" t="s">
        <v>91</v>
      </c>
      <c r="B36" s="3" t="s">
        <v>338</v>
      </c>
      <c r="C36" s="3" t="s">
        <v>106</v>
      </c>
      <c r="D36" s="3" t="s">
        <v>49</v>
      </c>
      <c r="E36" s="3" t="s">
        <v>339</v>
      </c>
      <c r="F36" s="3"/>
      <c r="G36" s="3"/>
      <c r="H36" s="3"/>
      <c r="I36" s="3"/>
      <c r="J36" s="3"/>
      <c r="K36" s="3"/>
      <c r="L36" s="3" t="s">
        <v>75</v>
      </c>
      <c r="M36" s="3" t="s">
        <v>76</v>
      </c>
      <c r="N36" s="7"/>
    </row>
    <row r="37" spans="1:14">
      <c r="A37" s="6" t="s">
        <v>91</v>
      </c>
      <c r="B37" s="3" t="s">
        <v>340</v>
      </c>
      <c r="C37" s="3" t="s">
        <v>112</v>
      </c>
      <c r="D37" s="3" t="s">
        <v>49</v>
      </c>
      <c r="E37" s="3" t="s">
        <v>341</v>
      </c>
      <c r="F37" s="3" t="s">
        <v>321</v>
      </c>
      <c r="G37" s="3" t="s">
        <v>75</v>
      </c>
      <c r="H37" s="3" t="s">
        <v>76</v>
      </c>
      <c r="I37" s="3" t="s">
        <v>94</v>
      </c>
      <c r="J37" s="3" t="s">
        <v>49</v>
      </c>
      <c r="K37" s="3" t="s">
        <v>342</v>
      </c>
      <c r="L37" s="3"/>
      <c r="M37" s="3"/>
      <c r="N37" s="7"/>
    </row>
    <row r="38" spans="1:14">
      <c r="A38" s="54" t="s">
        <v>118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>
      <c r="A39" s="62" t="s">
        <v>58</v>
      </c>
      <c r="B39" s="53" t="s">
        <v>59</v>
      </c>
      <c r="C39" s="53" t="s">
        <v>119</v>
      </c>
      <c r="D39" s="53" t="s">
        <v>103</v>
      </c>
      <c r="E39" s="53" t="s">
        <v>87</v>
      </c>
      <c r="F39" s="53" t="s">
        <v>88</v>
      </c>
      <c r="G39" s="53"/>
      <c r="H39" s="53"/>
      <c r="I39" s="53"/>
      <c r="J39" s="53"/>
      <c r="K39" s="53"/>
      <c r="L39" s="53" t="s">
        <v>104</v>
      </c>
      <c r="M39" s="53"/>
      <c r="N39" s="57" t="s">
        <v>89</v>
      </c>
    </row>
    <row r="40" spans="1:14">
      <c r="A40" s="62"/>
      <c r="B40" s="53"/>
      <c r="C40" s="53"/>
      <c r="D40" s="53"/>
      <c r="E40" s="53"/>
      <c r="F40" s="13" t="s">
        <v>59</v>
      </c>
      <c r="G40" s="13" t="s">
        <v>60</v>
      </c>
      <c r="H40" s="13" t="s">
        <v>65</v>
      </c>
      <c r="I40" s="13" t="s">
        <v>90</v>
      </c>
      <c r="J40" s="13" t="s">
        <v>61</v>
      </c>
      <c r="K40" s="13" t="s">
        <v>87</v>
      </c>
      <c r="L40" s="13" t="s">
        <v>60</v>
      </c>
      <c r="M40" s="13" t="s">
        <v>65</v>
      </c>
      <c r="N40" s="57"/>
    </row>
    <row r="41" spans="1:14">
      <c r="A41" s="6" t="s">
        <v>91</v>
      </c>
      <c r="B41" s="3" t="s">
        <v>343</v>
      </c>
      <c r="C41" s="3" t="s">
        <v>69</v>
      </c>
      <c r="D41" s="3" t="s">
        <v>49</v>
      </c>
      <c r="E41" s="3" t="s">
        <v>344</v>
      </c>
      <c r="F41" s="3"/>
      <c r="G41" s="3"/>
      <c r="H41" s="3"/>
      <c r="I41" s="3"/>
      <c r="J41" s="3"/>
      <c r="K41" s="3"/>
      <c r="L41" s="3" t="s">
        <v>179</v>
      </c>
      <c r="M41" s="3"/>
      <c r="N41" s="7"/>
    </row>
    <row r="42" spans="1:14">
      <c r="A42" s="14" t="s">
        <v>91</v>
      </c>
      <c r="B42" s="15" t="s">
        <v>345</v>
      </c>
      <c r="C42" s="3" t="s">
        <v>69</v>
      </c>
      <c r="D42" s="3" t="s">
        <v>49</v>
      </c>
      <c r="E42" s="15" t="s">
        <v>346</v>
      </c>
      <c r="F42" s="15" t="s">
        <v>347</v>
      </c>
      <c r="G42" s="15" t="s">
        <v>75</v>
      </c>
      <c r="H42" s="15" t="s">
        <v>27</v>
      </c>
      <c r="I42" s="15" t="s">
        <v>94</v>
      </c>
      <c r="J42" s="15" t="s">
        <v>49</v>
      </c>
      <c r="K42" s="15" t="s">
        <v>348</v>
      </c>
      <c r="L42" s="3" t="s">
        <v>179</v>
      </c>
      <c r="M42" s="15"/>
      <c r="N42" s="8" t="s">
        <v>349</v>
      </c>
    </row>
    <row r="43" spans="1:14">
      <c r="A43" s="6" t="s">
        <v>91</v>
      </c>
      <c r="B43" s="3" t="s">
        <v>350</v>
      </c>
      <c r="C43" s="3" t="s">
        <v>69</v>
      </c>
      <c r="D43" s="3" t="s">
        <v>49</v>
      </c>
      <c r="E43" s="3" t="s">
        <v>351</v>
      </c>
      <c r="F43" s="3" t="s">
        <v>352</v>
      </c>
      <c r="G43" s="3" t="s">
        <v>75</v>
      </c>
      <c r="H43" s="3" t="s">
        <v>29</v>
      </c>
      <c r="I43" s="15" t="s">
        <v>94</v>
      </c>
      <c r="J43" s="15" t="s">
        <v>49</v>
      </c>
      <c r="K43" s="3" t="s">
        <v>353</v>
      </c>
      <c r="L43" s="3" t="s">
        <v>179</v>
      </c>
      <c r="M43" s="3"/>
      <c r="N43" s="8" t="s">
        <v>349</v>
      </c>
    </row>
    <row r="44" spans="1:14">
      <c r="A44" s="14" t="s">
        <v>91</v>
      </c>
      <c r="B44" s="15" t="s">
        <v>354</v>
      </c>
      <c r="C44" s="3" t="s">
        <v>69</v>
      </c>
      <c r="D44" s="3" t="s">
        <v>49</v>
      </c>
      <c r="E44" s="15" t="s">
        <v>355</v>
      </c>
      <c r="F44" s="15" t="s">
        <v>356</v>
      </c>
      <c r="G44" s="15" t="s">
        <v>75</v>
      </c>
      <c r="H44" s="15" t="s">
        <v>314</v>
      </c>
      <c r="I44" s="15" t="s">
        <v>94</v>
      </c>
      <c r="J44" s="15" t="s">
        <v>49</v>
      </c>
      <c r="K44" s="15" t="s">
        <v>357</v>
      </c>
      <c r="L44" s="3" t="s">
        <v>179</v>
      </c>
      <c r="M44" s="15"/>
      <c r="N44" s="8" t="s">
        <v>349</v>
      </c>
    </row>
  </sheetData>
  <mergeCells count="62">
    <mergeCell ref="J15:N15"/>
    <mergeCell ref="G16:I16"/>
    <mergeCell ref="B6:E6"/>
    <mergeCell ref="A1:E1"/>
    <mergeCell ref="B2:E2"/>
    <mergeCell ref="B3:E3"/>
    <mergeCell ref="B4:E4"/>
    <mergeCell ref="B5:E5"/>
    <mergeCell ref="J23:L23"/>
    <mergeCell ref="M23:N23"/>
    <mergeCell ref="G17:I17"/>
    <mergeCell ref="J17:N17"/>
    <mergeCell ref="A7:E7"/>
    <mergeCell ref="B8:D8"/>
    <mergeCell ref="B9:D9"/>
    <mergeCell ref="A12:N12"/>
    <mergeCell ref="A13:A14"/>
    <mergeCell ref="B13:B14"/>
    <mergeCell ref="C13:D13"/>
    <mergeCell ref="E13:E14"/>
    <mergeCell ref="F13:F14"/>
    <mergeCell ref="G13:I14"/>
    <mergeCell ref="J13:N14"/>
    <mergeCell ref="G15:I15"/>
    <mergeCell ref="D20:D21"/>
    <mergeCell ref="E20:L20"/>
    <mergeCell ref="M20:N21"/>
    <mergeCell ref="J21:L21"/>
    <mergeCell ref="J22:L22"/>
    <mergeCell ref="M22:N22"/>
    <mergeCell ref="L39:M39"/>
    <mergeCell ref="N39:N40"/>
    <mergeCell ref="F28:K28"/>
    <mergeCell ref="L28:M28"/>
    <mergeCell ref="N28:N29"/>
    <mergeCell ref="A38:N38"/>
    <mergeCell ref="A39:A40"/>
    <mergeCell ref="B39:B40"/>
    <mergeCell ref="C39:C40"/>
    <mergeCell ref="D39:D40"/>
    <mergeCell ref="E39:E40"/>
    <mergeCell ref="F39:K39"/>
    <mergeCell ref="A28:A29"/>
    <mergeCell ref="B28:B29"/>
    <mergeCell ref="C28:C29"/>
    <mergeCell ref="E28:E29"/>
    <mergeCell ref="K24:L24"/>
    <mergeCell ref="J25:L25"/>
    <mergeCell ref="J26:L26"/>
    <mergeCell ref="D28:D29"/>
    <mergeCell ref="B10:D10"/>
    <mergeCell ref="B11:D11"/>
    <mergeCell ref="B23:B26"/>
    <mergeCell ref="D23:D26"/>
    <mergeCell ref="A27:N27"/>
    <mergeCell ref="J16:N16"/>
    <mergeCell ref="G18:I18"/>
    <mergeCell ref="J18:N18"/>
    <mergeCell ref="A19:N19"/>
    <mergeCell ref="A20:A21"/>
    <mergeCell ref="B20:B21"/>
    <mergeCell ref="C20:C21"/>
  </mergeCells>
  <hyperlinks>
    <hyperlink ref="A1:E1" location="Clases!A1" display="&lt;-Volver al inicio" xr:uid="{BAEB0B6A-32D0-48B4-8E53-532C68AEFB1C}"/>
    <hyperlink ref="E9" location="'Cliente'!B2" display="Cliente" xr:uid="{122526BB-D34E-4539-B3E8-0A973D30DC4B}"/>
    <hyperlink ref="E11" location="'DetalleVenta'!B2" display="DetalleVenta" xr:uid="{A62826CE-9CB0-42BA-8EA8-99DD0923328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A415FA5-27A7-4C96-867A-76777788211E}">
          <x14:formula1>
            <xm:f>Valores!$D$2:$D$3</xm:f>
          </x14:formula1>
          <xm:sqref>B5</xm:sqref>
        </x14:dataValidation>
        <x14:dataValidation type="list" allowBlank="1" showInputMessage="1" showErrorMessage="1" xr:uid="{35BC76E5-7171-43AD-A1A4-04B1F05D6548}">
          <x14:formula1>
            <xm:f>Valores!$E$2:$E$3</xm:f>
          </x14:formula1>
          <xm:sqref>B6 E15:E18 I22:I26 D41:D44 J30:J37 D30:D37 J41:J44</xm:sqref>
        </x14:dataValidation>
        <x14:dataValidation type="list" allowBlank="1" showInputMessage="1" showErrorMessage="1" xr:uid="{9FCFCDF2-6D22-4D70-B2F8-AB26C17F9104}">
          <x14:formula1>
            <xm:f>Valores!$F$2:$F$5</xm:f>
          </x14:formula1>
          <xm:sqref>A15:A18 A41:A44 A22:A26 A30:A37</xm:sqref>
        </x14:dataValidation>
        <x14:dataValidation type="list" allowBlank="1" showInputMessage="1" showErrorMessage="1" xr:uid="{6DC2737B-F128-412C-83EA-A4102BA94C18}">
          <x14:formula1>
            <xm:f>Valores!$G$2:$G$12</xm:f>
          </x14:formula1>
          <xm:sqref>C15:C18 F22:F26 L30:L37 G41:G44 G30:G37</xm:sqref>
        </x14:dataValidation>
        <x14:dataValidation type="list" allowBlank="1" showInputMessage="1" showErrorMessage="1" xr:uid="{B453E54B-2BC6-431D-8E4E-71C22EF5FAD2}">
          <x14:formula1>
            <xm:f>Valores!$H$2:$H$3</xm:f>
          </x14:formula1>
          <xm:sqref>F15:F18 C41:C44</xm:sqref>
        </x14:dataValidation>
        <x14:dataValidation type="list" allowBlank="1" showInputMessage="1" showErrorMessage="1" xr:uid="{ACE49AF1-0C6D-40A0-AAE1-0A97B7A769A8}">
          <x14:formula1>
            <xm:f>Valores!$I$2:$I$3</xm:f>
          </x14:formula1>
          <xm:sqref>C22:C26</xm:sqref>
        </x14:dataValidation>
        <x14:dataValidation type="list" allowBlank="1" showInputMessage="1" showErrorMessage="1" xr:uid="{E7376E56-2C1C-4475-B565-ADCD3BD26A4F}">
          <x14:formula1>
            <xm:f>Valores!$J$2:$J$3</xm:f>
          </x14:formula1>
          <xm:sqref>H22:H26 I30:I37 I41:I44</xm:sqref>
        </x14:dataValidation>
        <x14:dataValidation type="list" allowBlank="1" showInputMessage="1" showErrorMessage="1" xr:uid="{E8B628DB-8A4C-4530-A931-C934F7A985A2}">
          <x14:formula1>
            <xm:f>Valores!$K$2:$K$3</xm:f>
          </x14:formula1>
          <xm:sqref>C30:C37</xm:sqref>
        </x14:dataValidation>
        <x14:dataValidation type="list" allowBlank="1" showInputMessage="1" showErrorMessage="1" xr:uid="{95ECD581-2B09-4D76-BEF2-FE42EA1AD4EC}">
          <x14:formula1>
            <xm:f>Valores!$L$2:$L$13</xm:f>
          </x14:formula1>
          <xm:sqref>L41:L44</xm:sqref>
        </x14:dataValidation>
        <x14:dataValidation type="list" allowBlank="1" showInputMessage="1" showErrorMessage="1" xr:uid="{B2F67491-B9EA-4F57-89B8-E76D6B3A0427}">
          <x14:formula1>
            <xm:f>Valores!$B$2:$B$3</xm:f>
          </x14:formula1>
          <xm:sqref>A9 A11</xm:sqref>
        </x14:dataValidation>
        <x14:dataValidation type="list" allowBlank="1" showInputMessage="1" showErrorMessage="1" xr:uid="{465AF88A-0C29-4150-9F03-BCC8E2845D29}">
          <x14:formula1>
            <xm:f>Valores!$C$2:$C$7</xm:f>
          </x14:formula1>
          <xm:sqref>B9:B11</xm:sqref>
        </x14:dataValidation>
        <x14:dataValidation type="list" allowBlank="1" showInputMessage="1" showErrorMessage="1" xr:uid="{2298B5E7-1699-4F89-A6C6-7E5E949827CD}">
          <x14:formula1>
            <xm:f>Clases!$A$2:$A$13</xm:f>
          </x14:formula1>
          <xm:sqref>E9 E11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4D73D-204A-43EC-B285-86DDF2BA1278}">
  <dimension ref="A1:N36"/>
  <sheetViews>
    <sheetView zoomScale="55" zoomScaleNormal="55" workbookViewId="0">
      <pane ySplit="1" topLeftCell="A2" activePane="bottomLeft" state="frozen"/>
      <selection pane="bottomLeft" activeCell="A15" sqref="A15"/>
    </sheetView>
  </sheetViews>
  <sheetFormatPr defaultColWidth="19.7109375" defaultRowHeight="15"/>
  <cols>
    <col min="1" max="1" width="28.7109375" style="1" customWidth="1"/>
    <col min="2" max="2" width="31.85546875" style="1" customWidth="1"/>
    <col min="3" max="3" width="27.140625" style="1" bestFit="1" customWidth="1"/>
    <col min="4" max="4" width="75.1406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6.8554687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Clases!A12</f>
        <v>Sede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Clases!B12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Clases!C12</f>
        <v>Clase que representa una sede o sucursal del sistema de la bloquera, donde se realizan las operaciones comerciales.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56</v>
      </c>
      <c r="B9" s="70" t="s">
        <v>55</v>
      </c>
      <c r="C9" s="70"/>
      <c r="D9" s="70"/>
      <c r="E9" s="36" t="s">
        <v>15</v>
      </c>
    </row>
    <row r="10" spans="1:14">
      <c r="A10" s="66" t="s">
        <v>57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1:14">
      <c r="A11" s="73" t="s">
        <v>58</v>
      </c>
      <c r="B11" s="71" t="s">
        <v>59</v>
      </c>
      <c r="C11" s="71" t="s">
        <v>60</v>
      </c>
      <c r="D11" s="71"/>
      <c r="E11" s="71" t="s">
        <v>61</v>
      </c>
      <c r="F11" s="71" t="s">
        <v>62</v>
      </c>
      <c r="G11" s="71" t="s">
        <v>63</v>
      </c>
      <c r="H11" s="71"/>
      <c r="I11" s="71"/>
      <c r="J11" s="71" t="s">
        <v>64</v>
      </c>
      <c r="K11" s="71"/>
      <c r="L11" s="71"/>
      <c r="M11" s="71"/>
      <c r="N11" s="72"/>
    </row>
    <row r="12" spans="1:14">
      <c r="A12" s="73"/>
      <c r="B12" s="71"/>
      <c r="C12" s="10" t="s">
        <v>60</v>
      </c>
      <c r="D12" s="10" t="s">
        <v>65</v>
      </c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4">
      <c r="A13" s="6" t="s">
        <v>66</v>
      </c>
      <c r="B13" s="3" t="s">
        <v>133</v>
      </c>
      <c r="C13" s="3" t="s">
        <v>68</v>
      </c>
      <c r="D13" s="3"/>
      <c r="E13" s="3" t="s">
        <v>49</v>
      </c>
      <c r="F13" s="3" t="s">
        <v>69</v>
      </c>
      <c r="G13" s="64"/>
      <c r="H13" s="64"/>
      <c r="I13" s="64"/>
      <c r="J13" s="64" t="s">
        <v>358</v>
      </c>
      <c r="K13" s="64"/>
      <c r="L13" s="64"/>
      <c r="M13" s="64"/>
      <c r="N13" s="65"/>
    </row>
    <row r="14" spans="1:14">
      <c r="A14" s="6" t="s">
        <v>66</v>
      </c>
      <c r="B14" s="3" t="s">
        <v>71</v>
      </c>
      <c r="C14" s="3" t="s">
        <v>72</v>
      </c>
      <c r="D14" s="3"/>
      <c r="E14" s="3" t="s">
        <v>49</v>
      </c>
      <c r="F14" s="3" t="s">
        <v>69</v>
      </c>
      <c r="G14" s="64"/>
      <c r="H14" s="64"/>
      <c r="I14" s="64"/>
      <c r="J14" s="1" t="s">
        <v>359</v>
      </c>
    </row>
    <row r="15" spans="1:14">
      <c r="A15" s="6" t="s">
        <v>66</v>
      </c>
      <c r="B15" s="3" t="s">
        <v>360</v>
      </c>
      <c r="C15" s="3" t="s">
        <v>72</v>
      </c>
      <c r="D15" s="3"/>
      <c r="E15" s="3" t="s">
        <v>49</v>
      </c>
      <c r="F15" s="3" t="s">
        <v>69</v>
      </c>
      <c r="G15" s="64"/>
      <c r="H15" s="64"/>
      <c r="I15" s="64"/>
      <c r="J15" s="64" t="s">
        <v>361</v>
      </c>
      <c r="K15" s="64"/>
      <c r="L15" s="64"/>
      <c r="M15" s="64"/>
      <c r="N15" s="65"/>
    </row>
    <row r="16" spans="1:14">
      <c r="A16" s="81" t="s">
        <v>85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</row>
    <row r="17" spans="1:14">
      <c r="A17" s="84" t="s">
        <v>58</v>
      </c>
      <c r="B17" s="79" t="s">
        <v>59</v>
      </c>
      <c r="C17" s="79" t="s">
        <v>86</v>
      </c>
      <c r="D17" s="79" t="s">
        <v>87</v>
      </c>
      <c r="E17" s="79" t="s">
        <v>88</v>
      </c>
      <c r="F17" s="79"/>
      <c r="G17" s="79"/>
      <c r="H17" s="79"/>
      <c r="I17" s="79"/>
      <c r="J17" s="79"/>
      <c r="K17" s="79"/>
      <c r="L17" s="79"/>
      <c r="M17" s="79" t="s">
        <v>89</v>
      </c>
      <c r="N17" s="80"/>
    </row>
    <row r="18" spans="1:14">
      <c r="A18" s="84"/>
      <c r="B18" s="79"/>
      <c r="C18" s="79"/>
      <c r="D18" s="79"/>
      <c r="E18" s="11" t="s">
        <v>59</v>
      </c>
      <c r="F18" s="11" t="s">
        <v>60</v>
      </c>
      <c r="G18" s="11" t="s">
        <v>65</v>
      </c>
      <c r="H18" s="11" t="s">
        <v>90</v>
      </c>
      <c r="I18" s="11" t="s">
        <v>61</v>
      </c>
      <c r="J18" s="79" t="s">
        <v>87</v>
      </c>
      <c r="K18" s="79"/>
      <c r="L18" s="79"/>
      <c r="M18" s="79"/>
      <c r="N18" s="80"/>
    </row>
    <row r="19" spans="1:14">
      <c r="A19" s="6" t="s">
        <v>66</v>
      </c>
      <c r="B19" s="3" t="str">
        <f>B2</f>
        <v>Sede</v>
      </c>
      <c r="C19" s="3" t="s">
        <v>92</v>
      </c>
      <c r="D19" s="3" t="s">
        <v>362</v>
      </c>
      <c r="E19" s="3"/>
      <c r="F19" s="3"/>
      <c r="G19" s="3"/>
      <c r="H19" s="3"/>
      <c r="I19" s="3"/>
      <c r="J19" s="45"/>
      <c r="K19" s="48"/>
      <c r="L19" s="49"/>
      <c r="M19" s="45"/>
      <c r="N19" s="46"/>
    </row>
    <row r="20" spans="1:14">
      <c r="A20" s="6" t="s">
        <v>91</v>
      </c>
      <c r="B20" s="70" t="str">
        <f>B2</f>
        <v>Sede</v>
      </c>
      <c r="C20" s="3" t="s">
        <v>97</v>
      </c>
      <c r="D20" s="43" t="s">
        <v>363</v>
      </c>
      <c r="E20" s="3" t="s">
        <v>133</v>
      </c>
      <c r="F20" s="3" t="s">
        <v>68</v>
      </c>
      <c r="G20" s="3"/>
      <c r="H20" s="3" t="s">
        <v>94</v>
      </c>
      <c r="I20" s="3" t="s">
        <v>49</v>
      </c>
      <c r="J20" s="45" t="s">
        <v>364</v>
      </c>
      <c r="K20" s="48"/>
      <c r="L20" s="49"/>
      <c r="M20" s="45"/>
      <c r="N20" s="46"/>
    </row>
    <row r="21" spans="1:14">
      <c r="A21" s="6" t="s">
        <v>91</v>
      </c>
      <c r="B21" s="115"/>
      <c r="C21" s="3" t="s">
        <v>97</v>
      </c>
      <c r="D21" s="85"/>
      <c r="E21" s="3" t="s">
        <v>71</v>
      </c>
      <c r="F21" s="3" t="s">
        <v>72</v>
      </c>
      <c r="G21" s="3"/>
      <c r="H21" s="3" t="s">
        <v>94</v>
      </c>
      <c r="I21" s="3" t="s">
        <v>49</v>
      </c>
      <c r="J21" s="45" t="s">
        <v>365</v>
      </c>
      <c r="K21" s="48"/>
      <c r="L21" s="49"/>
      <c r="M21" s="28"/>
      <c r="N21" s="31"/>
    </row>
    <row r="22" spans="1:14">
      <c r="A22" s="6" t="s">
        <v>91</v>
      </c>
      <c r="B22" s="86"/>
      <c r="C22" s="3" t="s">
        <v>97</v>
      </c>
      <c r="D22" s="44"/>
      <c r="E22" s="3" t="s">
        <v>360</v>
      </c>
      <c r="F22" s="3" t="s">
        <v>72</v>
      </c>
      <c r="G22" s="3"/>
      <c r="H22" s="3" t="s">
        <v>94</v>
      </c>
      <c r="I22" s="3" t="s">
        <v>49</v>
      </c>
      <c r="J22" s="45" t="s">
        <v>366</v>
      </c>
      <c r="K22" s="48"/>
      <c r="L22" s="49"/>
      <c r="M22" s="28"/>
      <c r="N22" s="31"/>
    </row>
    <row r="23" spans="1:14">
      <c r="A23" s="58" t="s">
        <v>101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60"/>
    </row>
    <row r="24" spans="1:14">
      <c r="A24" s="63" t="s">
        <v>58</v>
      </c>
      <c r="B24" s="47" t="s">
        <v>59</v>
      </c>
      <c r="C24" s="47" t="s">
        <v>102</v>
      </c>
      <c r="D24" s="47" t="s">
        <v>103</v>
      </c>
      <c r="E24" s="47" t="s">
        <v>87</v>
      </c>
      <c r="F24" s="47" t="s">
        <v>88</v>
      </c>
      <c r="G24" s="47"/>
      <c r="H24" s="47"/>
      <c r="I24" s="47"/>
      <c r="J24" s="47"/>
      <c r="K24" s="47"/>
      <c r="L24" s="47" t="s">
        <v>104</v>
      </c>
      <c r="M24" s="47"/>
      <c r="N24" s="61" t="s">
        <v>89</v>
      </c>
    </row>
    <row r="25" spans="1:14">
      <c r="A25" s="63"/>
      <c r="B25" s="47"/>
      <c r="C25" s="47"/>
      <c r="D25" s="47"/>
      <c r="E25" s="47"/>
      <c r="F25" s="12" t="s">
        <v>59</v>
      </c>
      <c r="G25" s="12" t="s">
        <v>60</v>
      </c>
      <c r="H25" s="12" t="s">
        <v>65</v>
      </c>
      <c r="I25" s="12" t="s">
        <v>90</v>
      </c>
      <c r="J25" s="12" t="s">
        <v>61</v>
      </c>
      <c r="K25" s="12" t="s">
        <v>87</v>
      </c>
      <c r="L25" s="12" t="s">
        <v>60</v>
      </c>
      <c r="M25" s="12" t="s">
        <v>65</v>
      </c>
      <c r="N25" s="61"/>
    </row>
    <row r="26" spans="1:14">
      <c r="A26" s="6" t="s">
        <v>91</v>
      </c>
      <c r="B26" s="3" t="s">
        <v>140</v>
      </c>
      <c r="C26" s="3" t="s">
        <v>106</v>
      </c>
      <c r="D26" s="3" t="s">
        <v>49</v>
      </c>
      <c r="E26" s="3" t="s">
        <v>141</v>
      </c>
      <c r="F26" s="3"/>
      <c r="G26" s="3"/>
      <c r="H26" s="3"/>
      <c r="I26" s="3"/>
      <c r="J26" s="3"/>
      <c r="K26" s="3"/>
      <c r="L26" s="3" t="s">
        <v>68</v>
      </c>
      <c r="M26" s="3"/>
      <c r="N26" s="7"/>
    </row>
    <row r="27" spans="1:14">
      <c r="A27" s="6" t="s">
        <v>91</v>
      </c>
      <c r="B27" s="3" t="s">
        <v>162</v>
      </c>
      <c r="C27" s="3" t="s">
        <v>112</v>
      </c>
      <c r="D27" s="3" t="s">
        <v>49</v>
      </c>
      <c r="E27" s="3" t="s">
        <v>163</v>
      </c>
      <c r="F27" s="3" t="s">
        <v>133</v>
      </c>
      <c r="G27" s="3" t="s">
        <v>68</v>
      </c>
      <c r="H27" s="3"/>
      <c r="I27" s="3" t="s">
        <v>94</v>
      </c>
      <c r="J27" s="3" t="s">
        <v>49</v>
      </c>
      <c r="K27" s="3" t="s">
        <v>151</v>
      </c>
      <c r="L27" s="3"/>
      <c r="M27" s="3"/>
      <c r="N27" s="7"/>
    </row>
    <row r="28" spans="1:14">
      <c r="A28" s="6" t="s">
        <v>91</v>
      </c>
      <c r="B28" s="3" t="s">
        <v>108</v>
      </c>
      <c r="C28" s="3" t="s">
        <v>106</v>
      </c>
      <c r="D28" s="3" t="s">
        <v>49</v>
      </c>
      <c r="E28" s="3" t="s">
        <v>142</v>
      </c>
      <c r="F28" s="3"/>
      <c r="G28" s="3"/>
      <c r="H28" s="3"/>
      <c r="I28" s="3"/>
      <c r="J28" s="3"/>
      <c r="K28" s="3"/>
      <c r="L28" s="3" t="s">
        <v>72</v>
      </c>
      <c r="M28" s="3"/>
      <c r="N28" s="7"/>
    </row>
    <row r="29" spans="1:14">
      <c r="A29" s="6" t="s">
        <v>91</v>
      </c>
      <c r="B29" s="3" t="s">
        <v>111</v>
      </c>
      <c r="C29" s="3" t="s">
        <v>112</v>
      </c>
      <c r="D29" s="3" t="s">
        <v>49</v>
      </c>
      <c r="E29" s="3" t="s">
        <v>143</v>
      </c>
      <c r="F29" s="3" t="s">
        <v>71</v>
      </c>
      <c r="G29" s="3" t="s">
        <v>72</v>
      </c>
      <c r="H29" s="3"/>
      <c r="I29" s="3" t="s">
        <v>94</v>
      </c>
      <c r="J29" s="3" t="s">
        <v>49</v>
      </c>
      <c r="K29" s="3" t="s">
        <v>152</v>
      </c>
      <c r="L29" s="3"/>
      <c r="M29" s="3"/>
      <c r="N29" s="7"/>
    </row>
    <row r="30" spans="1:14">
      <c r="A30" s="6" t="s">
        <v>91</v>
      </c>
      <c r="B30" s="3" t="s">
        <v>367</v>
      </c>
      <c r="C30" s="3" t="s">
        <v>106</v>
      </c>
      <c r="D30" s="3" t="s">
        <v>49</v>
      </c>
      <c r="E30" s="3" t="s">
        <v>368</v>
      </c>
      <c r="F30" s="3"/>
      <c r="G30" s="3"/>
      <c r="H30" s="3"/>
      <c r="I30" s="3"/>
      <c r="J30" s="3"/>
      <c r="K30" s="3"/>
      <c r="L30" s="3" t="s">
        <v>72</v>
      </c>
      <c r="M30" s="3"/>
      <c r="N30" s="7"/>
    </row>
    <row r="31" spans="1:14">
      <c r="A31" s="6" t="s">
        <v>91</v>
      </c>
      <c r="B31" s="3" t="s">
        <v>369</v>
      </c>
      <c r="C31" s="3" t="s">
        <v>112</v>
      </c>
      <c r="D31" s="3" t="s">
        <v>49</v>
      </c>
      <c r="E31" s="3" t="s">
        <v>370</v>
      </c>
      <c r="F31" s="3" t="s">
        <v>360</v>
      </c>
      <c r="G31" s="3" t="s">
        <v>72</v>
      </c>
      <c r="H31" s="3"/>
      <c r="I31" s="3" t="s">
        <v>94</v>
      </c>
      <c r="J31" s="3" t="s">
        <v>49</v>
      </c>
      <c r="K31" t="s">
        <v>371</v>
      </c>
      <c r="L31" s="3"/>
      <c r="M31" s="3"/>
      <c r="N31" s="7"/>
    </row>
    <row r="32" spans="1:14">
      <c r="A32" s="54" t="s">
        <v>118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6"/>
    </row>
    <row r="33" spans="1:14">
      <c r="A33" s="62" t="s">
        <v>58</v>
      </c>
      <c r="B33" s="53" t="s">
        <v>59</v>
      </c>
      <c r="C33" s="53" t="s">
        <v>119</v>
      </c>
      <c r="D33" s="53" t="s">
        <v>103</v>
      </c>
      <c r="E33" s="53" t="s">
        <v>87</v>
      </c>
      <c r="F33" s="53" t="s">
        <v>88</v>
      </c>
      <c r="G33" s="53"/>
      <c r="H33" s="53"/>
      <c r="I33" s="53"/>
      <c r="J33" s="53"/>
      <c r="K33" s="53"/>
      <c r="L33" s="53" t="s">
        <v>104</v>
      </c>
      <c r="M33" s="53"/>
      <c r="N33" s="57" t="s">
        <v>89</v>
      </c>
    </row>
    <row r="34" spans="1:14">
      <c r="A34" s="62"/>
      <c r="B34" s="53"/>
      <c r="C34" s="53"/>
      <c r="D34" s="53"/>
      <c r="E34" s="53"/>
      <c r="F34" s="13" t="s">
        <v>59</v>
      </c>
      <c r="G34" s="13" t="s">
        <v>60</v>
      </c>
      <c r="H34" s="13" t="s">
        <v>65</v>
      </c>
      <c r="I34" s="13" t="s">
        <v>90</v>
      </c>
      <c r="J34" s="13" t="s">
        <v>61</v>
      </c>
      <c r="K34" s="13" t="s">
        <v>87</v>
      </c>
      <c r="L34" s="13" t="s">
        <v>60</v>
      </c>
      <c r="M34" s="13" t="s">
        <v>65</v>
      </c>
      <c r="N34" s="57"/>
    </row>
    <row r="35" spans="1:14">
      <c r="A35" s="6" t="s">
        <v>91</v>
      </c>
      <c r="B35" s="3" t="s">
        <v>372</v>
      </c>
      <c r="C35" s="3" t="s">
        <v>69</v>
      </c>
      <c r="D35" s="3" t="s">
        <v>49</v>
      </c>
      <c r="E35" s="3" t="s">
        <v>373</v>
      </c>
      <c r="F35" s="3" t="s">
        <v>71</v>
      </c>
      <c r="G35" s="3" t="s">
        <v>72</v>
      </c>
      <c r="H35" s="3"/>
      <c r="I35" s="15" t="s">
        <v>94</v>
      </c>
      <c r="J35" s="15" t="s">
        <v>49</v>
      </c>
      <c r="K35" s="3" t="s">
        <v>365</v>
      </c>
      <c r="L35" s="3" t="s">
        <v>72</v>
      </c>
      <c r="M35" s="3"/>
      <c r="N35" s="8" t="s">
        <v>349</v>
      </c>
    </row>
    <row r="36" spans="1:14">
      <c r="A36" s="14" t="s">
        <v>91</v>
      </c>
      <c r="B36" s="15" t="s">
        <v>374</v>
      </c>
      <c r="C36" s="3" t="s">
        <v>69</v>
      </c>
      <c r="D36" s="3" t="s">
        <v>49</v>
      </c>
      <c r="E36" s="15" t="s">
        <v>375</v>
      </c>
      <c r="F36" s="15" t="s">
        <v>376</v>
      </c>
      <c r="G36" s="15" t="s">
        <v>72</v>
      </c>
      <c r="H36" s="15"/>
      <c r="I36" s="15" t="s">
        <v>94</v>
      </c>
      <c r="J36" s="15" t="s">
        <v>49</v>
      </c>
      <c r="K36" s="15" t="s">
        <v>377</v>
      </c>
      <c r="L36" s="15" t="s">
        <v>72</v>
      </c>
      <c r="M36" s="15"/>
      <c r="N36" s="8" t="s">
        <v>349</v>
      </c>
    </row>
  </sheetData>
  <mergeCells count="56">
    <mergeCell ref="A7:E7"/>
    <mergeCell ref="B8:D8"/>
    <mergeCell ref="B9:D9"/>
    <mergeCell ref="A10:N10"/>
    <mergeCell ref="A11:A12"/>
    <mergeCell ref="B11:B12"/>
    <mergeCell ref="C11:D11"/>
    <mergeCell ref="B6:E6"/>
    <mergeCell ref="A1:E1"/>
    <mergeCell ref="B2:E2"/>
    <mergeCell ref="B3:E3"/>
    <mergeCell ref="B4:E4"/>
    <mergeCell ref="B5:E5"/>
    <mergeCell ref="D20:D22"/>
    <mergeCell ref="J21:L21"/>
    <mergeCell ref="E11:E12"/>
    <mergeCell ref="F11:F12"/>
    <mergeCell ref="G11:I12"/>
    <mergeCell ref="J11:N12"/>
    <mergeCell ref="J15:N15"/>
    <mergeCell ref="G15:I15"/>
    <mergeCell ref="G13:I13"/>
    <mergeCell ref="J13:N13"/>
    <mergeCell ref="G14:I14"/>
    <mergeCell ref="C24:C25"/>
    <mergeCell ref="D24:D25"/>
    <mergeCell ref="E24:E25"/>
    <mergeCell ref="A16:N16"/>
    <mergeCell ref="A17:A18"/>
    <mergeCell ref="B17:B18"/>
    <mergeCell ref="C17:C18"/>
    <mergeCell ref="D17:D18"/>
    <mergeCell ref="E17:L17"/>
    <mergeCell ref="M17:N18"/>
    <mergeCell ref="J18:L18"/>
    <mergeCell ref="J19:L19"/>
    <mergeCell ref="M19:N19"/>
    <mergeCell ref="J20:L20"/>
    <mergeCell ref="M20:N20"/>
    <mergeCell ref="B20:B22"/>
    <mergeCell ref="J22:L22"/>
    <mergeCell ref="A23:N23"/>
    <mergeCell ref="L33:M33"/>
    <mergeCell ref="N33:N34"/>
    <mergeCell ref="F24:K24"/>
    <mergeCell ref="L24:M24"/>
    <mergeCell ref="N24:N25"/>
    <mergeCell ref="A32:N32"/>
    <mergeCell ref="A33:A34"/>
    <mergeCell ref="B33:B34"/>
    <mergeCell ref="C33:C34"/>
    <mergeCell ref="D33:D34"/>
    <mergeCell ref="E33:E34"/>
    <mergeCell ref="F33:K33"/>
    <mergeCell ref="A24:A25"/>
    <mergeCell ref="B24:B25"/>
  </mergeCells>
  <hyperlinks>
    <hyperlink ref="A1:E1" location="Clases!A1" display="&lt;-Volver al inicio" xr:uid="{BB52BD41-ADD4-460F-B30B-0B58A83DAA14}"/>
    <hyperlink ref="E9" location="'Usuario'!B2" display="Usuario" xr:uid="{5B9D74EB-C067-4F18-B1DA-64097AEC551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BC85B113-4393-4938-B84A-60683118E6D6}">
          <x14:formula1>
            <xm:f>Clases!$A$2:$A$13</xm:f>
          </x14:formula1>
          <xm:sqref>E9</xm:sqref>
        </x14:dataValidation>
        <x14:dataValidation type="list" allowBlank="1" showInputMessage="1" showErrorMessage="1" xr:uid="{026FEEE0-52C5-4B4A-8668-447E05CEF2AE}">
          <x14:formula1>
            <xm:f>Valores!$C$2:$C$7</xm:f>
          </x14:formula1>
          <xm:sqref>B9</xm:sqref>
        </x14:dataValidation>
        <x14:dataValidation type="list" allowBlank="1" showInputMessage="1" showErrorMessage="1" xr:uid="{782A9C47-CF2E-40CE-9FAC-B3B89208484F}">
          <x14:formula1>
            <xm:f>Valores!$B$2:$B$3</xm:f>
          </x14:formula1>
          <xm:sqref>A9</xm:sqref>
        </x14:dataValidation>
        <x14:dataValidation type="list" allowBlank="1" showInputMessage="1" showErrorMessage="1" xr:uid="{7F9FBCCD-AFE1-43A1-A4B6-C687A9E79282}">
          <x14:formula1>
            <xm:f>Valores!$L$2:$L$13</xm:f>
          </x14:formula1>
          <xm:sqref>L35</xm:sqref>
        </x14:dataValidation>
        <x14:dataValidation type="list" allowBlank="1" showInputMessage="1" showErrorMessage="1" xr:uid="{43C50366-83A2-4135-8806-A3F49E1346F3}">
          <x14:formula1>
            <xm:f>Valores!$K$2:$K$3</xm:f>
          </x14:formula1>
          <xm:sqref>C26:C31</xm:sqref>
        </x14:dataValidation>
        <x14:dataValidation type="list" allowBlank="1" showInputMessage="1" showErrorMessage="1" xr:uid="{0429581E-67C9-419B-9A8A-8662FC3243F4}">
          <x14:formula1>
            <xm:f>Valores!$J$2:$J$3</xm:f>
          </x14:formula1>
          <xm:sqref>H19:H22 I26:I31 I35:I36</xm:sqref>
        </x14:dataValidation>
        <x14:dataValidation type="list" allowBlank="1" showInputMessage="1" showErrorMessage="1" xr:uid="{885F4C2A-6940-43D0-92BB-B6F9DBE332D0}">
          <x14:formula1>
            <xm:f>Valores!$I$2:$I$3</xm:f>
          </x14:formula1>
          <xm:sqref>C19:C22</xm:sqref>
        </x14:dataValidation>
        <x14:dataValidation type="list" allowBlank="1" showInputMessage="1" showErrorMessage="1" xr:uid="{D610E9F8-0B3E-4F9F-851B-CEED849B7FFF}">
          <x14:formula1>
            <xm:f>Valores!$H$2:$H$3</xm:f>
          </x14:formula1>
          <xm:sqref>F13:F15 C35:C36</xm:sqref>
        </x14:dataValidation>
        <x14:dataValidation type="list" allowBlank="1" showInputMessage="1" showErrorMessage="1" xr:uid="{40601884-EC1B-4235-9AFD-05F2C6E672D7}">
          <x14:formula1>
            <xm:f>Valores!$G$2:$G$12</xm:f>
          </x14:formula1>
          <xm:sqref>C13:C15 F19:F22 L36 G35:G36 G26:G31 L26:L31</xm:sqref>
        </x14:dataValidation>
        <x14:dataValidation type="list" allowBlank="1" showInputMessage="1" showErrorMessage="1" xr:uid="{9794CF95-6F84-4F4A-989D-ED168EA5D6E2}">
          <x14:formula1>
            <xm:f>Valores!$F$2:$F$5</xm:f>
          </x14:formula1>
          <xm:sqref>A13:A15 A19:A22 A35:A36 A26:A31</xm:sqref>
        </x14:dataValidation>
        <x14:dataValidation type="list" allowBlank="1" showInputMessage="1" showErrorMessage="1" xr:uid="{B7600E56-2165-4E2A-BB91-5E63700BBDB0}">
          <x14:formula1>
            <xm:f>Valores!$E$2:$E$3</xm:f>
          </x14:formula1>
          <xm:sqref>B6 E13:E15 I19:I22 D35:D36 D26:D31 J26:J31 J35:J36</xm:sqref>
        </x14:dataValidation>
        <x14:dataValidation type="list" allowBlank="1" showInputMessage="1" showErrorMessage="1" xr:uid="{00A6BDB6-C40D-4E04-B37E-E26390A99E87}">
          <x14:formula1>
            <xm:f>Valores!$D$2:$D$3</xm:f>
          </x14:formula1>
          <xm:sqref>B5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1D53F-7E3D-40B1-9639-654799CA7B21}">
  <dimension ref="A1:N41"/>
  <sheetViews>
    <sheetView zoomScale="55" zoomScaleNormal="55" workbookViewId="0">
      <pane ySplit="1" topLeftCell="A16" activePane="bottomLeft" state="frozen"/>
      <selection pane="bottomLeft" activeCell="A43" sqref="A43"/>
    </sheetView>
  </sheetViews>
  <sheetFormatPr defaultColWidth="19.7109375" defaultRowHeight="15"/>
  <cols>
    <col min="1" max="1" width="28.7109375" style="1" customWidth="1"/>
    <col min="2" max="2" width="37.140625" style="1" customWidth="1"/>
    <col min="3" max="3" width="27.140625" style="1" bestFit="1" customWidth="1"/>
    <col min="4" max="4" width="81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3.7109375" style="1" customWidth="1"/>
    <col min="12" max="12" width="17.5703125" style="1" bestFit="1" customWidth="1"/>
    <col min="13" max="13" width="14.85546875" style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Clases!A13</f>
        <v>DetalleVenta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Clases!B13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Clases!C13</f>
        <v>Clase que representa el detalle de una venta, conteniendo información sobre los productos vendidos, cantidades y precios.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54</v>
      </c>
      <c r="B9" s="70" t="s">
        <v>185</v>
      </c>
      <c r="C9" s="70"/>
      <c r="D9" s="70"/>
      <c r="E9" s="36" t="s">
        <v>23</v>
      </c>
    </row>
    <row r="10" spans="1:14">
      <c r="A10" s="9" t="s">
        <v>56</v>
      </c>
      <c r="B10" s="70" t="s">
        <v>55</v>
      </c>
      <c r="C10" s="70"/>
      <c r="D10" s="70"/>
      <c r="E10" s="36" t="s">
        <v>4</v>
      </c>
    </row>
    <row r="11" spans="1:14">
      <c r="A11" s="66" t="s">
        <v>57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</row>
    <row r="12" spans="1:14">
      <c r="A12" s="73" t="s">
        <v>58</v>
      </c>
      <c r="B12" s="71" t="s">
        <v>59</v>
      </c>
      <c r="C12" s="71" t="s">
        <v>60</v>
      </c>
      <c r="D12" s="71"/>
      <c r="E12" s="71" t="s">
        <v>61</v>
      </c>
      <c r="F12" s="71" t="s">
        <v>62</v>
      </c>
      <c r="G12" s="71" t="s">
        <v>63</v>
      </c>
      <c r="H12" s="71"/>
      <c r="I12" s="71"/>
      <c r="J12" s="71" t="s">
        <v>64</v>
      </c>
      <c r="K12" s="71"/>
      <c r="L12" s="71"/>
      <c r="M12" s="71"/>
      <c r="N12" s="72"/>
    </row>
    <row r="13" spans="1:14">
      <c r="A13" s="73"/>
      <c r="B13" s="71"/>
      <c r="C13" s="10" t="s">
        <v>60</v>
      </c>
      <c r="D13" s="10" t="s">
        <v>65</v>
      </c>
      <c r="E13" s="71"/>
      <c r="F13" s="71"/>
      <c r="G13" s="71"/>
      <c r="H13" s="71"/>
      <c r="I13" s="71"/>
      <c r="J13" s="71"/>
      <c r="K13" s="71"/>
      <c r="L13" s="71"/>
      <c r="M13" s="71"/>
      <c r="N13" s="72"/>
    </row>
    <row r="14" spans="1:14">
      <c r="A14" s="6" t="s">
        <v>66</v>
      </c>
      <c r="B14" s="3" t="s">
        <v>133</v>
      </c>
      <c r="C14" s="3" t="s">
        <v>68</v>
      </c>
      <c r="D14" s="3"/>
      <c r="E14" s="3" t="s">
        <v>49</v>
      </c>
      <c r="F14" s="3" t="s">
        <v>69</v>
      </c>
      <c r="G14" s="64"/>
      <c r="H14" s="64"/>
      <c r="I14" s="64"/>
      <c r="J14" s="64" t="s">
        <v>378</v>
      </c>
      <c r="K14" s="64"/>
      <c r="L14" s="64"/>
      <c r="M14" s="64"/>
      <c r="N14" s="65"/>
    </row>
    <row r="15" spans="1:14">
      <c r="A15" s="6" t="s">
        <v>66</v>
      </c>
      <c r="B15" s="3" t="s">
        <v>379</v>
      </c>
      <c r="C15" s="3" t="s">
        <v>75</v>
      </c>
      <c r="D15" s="3" t="s">
        <v>76</v>
      </c>
      <c r="E15" s="3" t="s">
        <v>49</v>
      </c>
      <c r="F15" s="3" t="s">
        <v>69</v>
      </c>
      <c r="G15" s="64"/>
      <c r="H15" s="64"/>
      <c r="I15" s="64"/>
      <c r="J15" s="64" t="s">
        <v>380</v>
      </c>
      <c r="K15" s="64"/>
      <c r="L15" s="64"/>
      <c r="M15" s="64"/>
      <c r="N15" s="65"/>
    </row>
    <row r="16" spans="1:14">
      <c r="A16" s="6" t="s">
        <v>66</v>
      </c>
      <c r="B16" s="3" t="s">
        <v>381</v>
      </c>
      <c r="C16" s="3" t="s">
        <v>75</v>
      </c>
      <c r="D16" s="3" t="s">
        <v>76</v>
      </c>
      <c r="E16" s="3" t="s">
        <v>49</v>
      </c>
      <c r="F16" s="3" t="s">
        <v>69</v>
      </c>
      <c r="G16" s="64"/>
      <c r="H16" s="64"/>
      <c r="I16" s="64"/>
      <c r="J16" s="64" t="s">
        <v>382</v>
      </c>
      <c r="K16" s="64"/>
      <c r="L16" s="64"/>
      <c r="M16" s="64"/>
      <c r="N16" s="65"/>
    </row>
    <row r="17" spans="1:14">
      <c r="A17" s="6" t="s">
        <v>66</v>
      </c>
      <c r="B17" s="3" t="s">
        <v>383</v>
      </c>
      <c r="C17" s="3" t="s">
        <v>75</v>
      </c>
      <c r="D17" s="3" t="s">
        <v>76</v>
      </c>
      <c r="E17" s="3" t="s">
        <v>49</v>
      </c>
      <c r="F17" s="3" t="s">
        <v>69</v>
      </c>
      <c r="G17" s="64"/>
      <c r="H17" s="64"/>
      <c r="I17" s="64"/>
      <c r="J17" s="64" t="s">
        <v>384</v>
      </c>
      <c r="K17" s="64"/>
      <c r="L17" s="64"/>
      <c r="M17" s="64"/>
      <c r="N17" s="65"/>
    </row>
    <row r="18" spans="1:14">
      <c r="A18" s="81" t="s">
        <v>85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3"/>
    </row>
    <row r="19" spans="1:14">
      <c r="A19" s="84" t="s">
        <v>58</v>
      </c>
      <c r="B19" s="79" t="s">
        <v>59</v>
      </c>
      <c r="C19" s="79" t="s">
        <v>86</v>
      </c>
      <c r="D19" s="79" t="s">
        <v>87</v>
      </c>
      <c r="E19" s="79" t="s">
        <v>88</v>
      </c>
      <c r="F19" s="79"/>
      <c r="G19" s="79"/>
      <c r="H19" s="79"/>
      <c r="I19" s="79"/>
      <c r="J19" s="79"/>
      <c r="K19" s="79"/>
      <c r="L19" s="79"/>
      <c r="M19" s="79" t="s">
        <v>89</v>
      </c>
      <c r="N19" s="80"/>
    </row>
    <row r="20" spans="1:14">
      <c r="A20" s="84"/>
      <c r="B20" s="79"/>
      <c r="C20" s="79"/>
      <c r="D20" s="79"/>
      <c r="E20" s="11" t="s">
        <v>59</v>
      </c>
      <c r="F20" s="11" t="s">
        <v>60</v>
      </c>
      <c r="G20" s="11" t="s">
        <v>65</v>
      </c>
      <c r="H20" s="11" t="s">
        <v>90</v>
      </c>
      <c r="I20" s="11" t="s">
        <v>61</v>
      </c>
      <c r="J20" s="79" t="s">
        <v>87</v>
      </c>
      <c r="K20" s="79"/>
      <c r="L20" s="79"/>
      <c r="M20" s="79"/>
      <c r="N20" s="80"/>
    </row>
    <row r="21" spans="1:14">
      <c r="A21" s="6" t="s">
        <v>91</v>
      </c>
      <c r="B21" s="3" t="str">
        <f>B2</f>
        <v>DetalleVenta</v>
      </c>
      <c r="C21" s="3" t="s">
        <v>92</v>
      </c>
      <c r="D21" s="3" t="s">
        <v>385</v>
      </c>
      <c r="E21" s="3"/>
      <c r="F21" s="3"/>
      <c r="G21" s="3"/>
      <c r="H21" s="3"/>
      <c r="I21" s="3"/>
      <c r="J21" s="45"/>
      <c r="K21" s="48"/>
      <c r="L21" s="49"/>
      <c r="M21" s="45"/>
      <c r="N21" s="46"/>
    </row>
    <row r="22" spans="1:14">
      <c r="A22" s="6" t="s">
        <v>91</v>
      </c>
      <c r="B22" s="43" t="str">
        <f>B2</f>
        <v>DetalleVenta</v>
      </c>
      <c r="C22" s="3" t="s">
        <v>97</v>
      </c>
      <c r="D22" s="43" t="s">
        <v>386</v>
      </c>
      <c r="E22" s="3" t="s">
        <v>133</v>
      </c>
      <c r="F22" s="3" t="s">
        <v>68</v>
      </c>
      <c r="G22" s="3"/>
      <c r="H22" s="3" t="s">
        <v>94</v>
      </c>
      <c r="I22" s="3" t="s">
        <v>49</v>
      </c>
      <c r="J22" s="45" t="s">
        <v>387</v>
      </c>
      <c r="K22" s="48"/>
      <c r="L22" s="49"/>
      <c r="M22" s="45"/>
      <c r="N22" s="46"/>
    </row>
    <row r="23" spans="1:14">
      <c r="A23" s="6" t="s">
        <v>91</v>
      </c>
      <c r="B23" s="85"/>
      <c r="C23" s="3" t="s">
        <v>97</v>
      </c>
      <c r="D23" s="85"/>
      <c r="E23" s="3" t="s">
        <v>379</v>
      </c>
      <c r="F23" s="3" t="s">
        <v>75</v>
      </c>
      <c r="G23" s="3" t="s">
        <v>76</v>
      </c>
      <c r="H23" s="3" t="s">
        <v>94</v>
      </c>
      <c r="I23" s="3" t="s">
        <v>49</v>
      </c>
      <c r="J23" s="45" t="s">
        <v>388</v>
      </c>
      <c r="K23" s="48"/>
      <c r="L23" s="49"/>
      <c r="M23" s="45"/>
      <c r="N23" s="46"/>
    </row>
    <row r="24" spans="1:14">
      <c r="A24" s="6" t="s">
        <v>91</v>
      </c>
      <c r="B24" s="85"/>
      <c r="C24" s="3" t="s">
        <v>97</v>
      </c>
      <c r="D24" s="85"/>
      <c r="E24" s="3" t="s">
        <v>381</v>
      </c>
      <c r="F24" s="3" t="s">
        <v>75</v>
      </c>
      <c r="G24" s="3" t="s">
        <v>76</v>
      </c>
      <c r="H24" s="3" t="s">
        <v>94</v>
      </c>
      <c r="I24" s="3" t="s">
        <v>49</v>
      </c>
      <c r="J24" s="45" t="s">
        <v>389</v>
      </c>
      <c r="K24" s="48"/>
      <c r="L24" s="49"/>
      <c r="M24" s="28"/>
      <c r="N24" s="31"/>
    </row>
    <row r="25" spans="1:14">
      <c r="A25" s="6" t="s">
        <v>91</v>
      </c>
      <c r="B25" s="44"/>
      <c r="C25" s="3" t="s">
        <v>97</v>
      </c>
      <c r="D25" s="44"/>
      <c r="E25" s="3" t="s">
        <v>383</v>
      </c>
      <c r="F25" s="3" t="s">
        <v>75</v>
      </c>
      <c r="G25" s="3" t="s">
        <v>76</v>
      </c>
      <c r="H25" s="3" t="s">
        <v>94</v>
      </c>
      <c r="I25" s="3" t="s">
        <v>49</v>
      </c>
      <c r="J25" s="45" t="s">
        <v>390</v>
      </c>
      <c r="K25" s="48"/>
      <c r="L25" s="49"/>
      <c r="M25" s="28"/>
      <c r="N25" s="31"/>
    </row>
    <row r="26" spans="1:14">
      <c r="A26" s="58" t="s">
        <v>101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60"/>
    </row>
    <row r="27" spans="1:14">
      <c r="A27" s="63" t="s">
        <v>58</v>
      </c>
      <c r="B27" s="47" t="s">
        <v>59</v>
      </c>
      <c r="C27" s="47" t="s">
        <v>102</v>
      </c>
      <c r="D27" s="47" t="s">
        <v>103</v>
      </c>
      <c r="E27" s="47" t="s">
        <v>87</v>
      </c>
      <c r="F27" s="47" t="s">
        <v>88</v>
      </c>
      <c r="G27" s="47"/>
      <c r="H27" s="47"/>
      <c r="I27" s="47"/>
      <c r="J27" s="47"/>
      <c r="K27" s="47"/>
      <c r="L27" s="47" t="s">
        <v>104</v>
      </c>
      <c r="M27" s="47"/>
      <c r="N27" s="61" t="s">
        <v>89</v>
      </c>
    </row>
    <row r="28" spans="1:14">
      <c r="A28" s="63"/>
      <c r="B28" s="47"/>
      <c r="C28" s="47"/>
      <c r="D28" s="47"/>
      <c r="E28" s="47"/>
      <c r="F28" s="12" t="s">
        <v>59</v>
      </c>
      <c r="G28" s="12" t="s">
        <v>60</v>
      </c>
      <c r="H28" s="12" t="s">
        <v>65</v>
      </c>
      <c r="I28" s="12" t="s">
        <v>90</v>
      </c>
      <c r="J28" s="12" t="s">
        <v>61</v>
      </c>
      <c r="K28" s="12" t="s">
        <v>87</v>
      </c>
      <c r="L28" s="12" t="s">
        <v>60</v>
      </c>
      <c r="M28" s="12" t="s">
        <v>65</v>
      </c>
      <c r="N28" s="61"/>
    </row>
    <row r="29" spans="1:14">
      <c r="A29" s="6" t="s">
        <v>91</v>
      </c>
      <c r="B29" s="3" t="s">
        <v>140</v>
      </c>
      <c r="C29" s="3" t="s">
        <v>106</v>
      </c>
      <c r="D29" s="3" t="s">
        <v>49</v>
      </c>
      <c r="E29" s="3" t="s">
        <v>141</v>
      </c>
      <c r="F29" s="3"/>
      <c r="G29" s="3"/>
      <c r="H29" s="3"/>
      <c r="I29" s="3"/>
      <c r="J29" s="3"/>
      <c r="K29" s="3"/>
      <c r="L29" s="3" t="s">
        <v>68</v>
      </c>
      <c r="M29" s="3"/>
      <c r="N29" s="7"/>
    </row>
    <row r="30" spans="1:14">
      <c r="A30" s="6" t="s">
        <v>91</v>
      </c>
      <c r="B30" s="3" t="s">
        <v>162</v>
      </c>
      <c r="C30" s="3" t="s">
        <v>112</v>
      </c>
      <c r="D30" s="3" t="s">
        <v>49</v>
      </c>
      <c r="E30" t="s">
        <v>163</v>
      </c>
      <c r="F30" s="3" t="s">
        <v>133</v>
      </c>
      <c r="G30" s="3" t="s">
        <v>68</v>
      </c>
      <c r="H30" s="3"/>
      <c r="I30" s="3" t="s">
        <v>94</v>
      </c>
      <c r="J30" s="3" t="s">
        <v>49</v>
      </c>
      <c r="K30" s="3" t="s">
        <v>151</v>
      </c>
      <c r="L30" s="3"/>
      <c r="M30" s="3"/>
      <c r="N30" s="7"/>
    </row>
    <row r="31" spans="1:14">
      <c r="A31" s="6" t="s">
        <v>91</v>
      </c>
      <c r="B31" t="s">
        <v>391</v>
      </c>
      <c r="C31" s="3" t="s">
        <v>106</v>
      </c>
      <c r="D31" s="3" t="s">
        <v>49</v>
      </c>
      <c r="E31" s="3" t="s">
        <v>392</v>
      </c>
      <c r="F31" s="3"/>
      <c r="G31" s="3"/>
      <c r="H31" s="3"/>
      <c r="I31" s="3"/>
      <c r="J31" s="3"/>
      <c r="K31" s="3"/>
      <c r="L31" s="3" t="s">
        <v>75</v>
      </c>
      <c r="M31" s="3" t="s">
        <v>76</v>
      </c>
      <c r="N31" s="7"/>
    </row>
    <row r="32" spans="1:14">
      <c r="A32" s="6" t="s">
        <v>91</v>
      </c>
      <c r="B32" s="3" t="s">
        <v>393</v>
      </c>
      <c r="C32" s="3" t="s">
        <v>112</v>
      </c>
      <c r="D32" s="3" t="s">
        <v>49</v>
      </c>
      <c r="E32" t="s">
        <v>394</v>
      </c>
      <c r="F32" s="3" t="s">
        <v>379</v>
      </c>
      <c r="G32" s="3" t="s">
        <v>75</v>
      </c>
      <c r="H32" s="3" t="s">
        <v>76</v>
      </c>
      <c r="I32" s="3" t="s">
        <v>94</v>
      </c>
      <c r="J32" s="3" t="s">
        <v>49</v>
      </c>
      <c r="K32" s="3" t="s">
        <v>395</v>
      </c>
      <c r="L32" s="3"/>
      <c r="M32" s="3"/>
      <c r="N32" s="7"/>
    </row>
    <row r="33" spans="1:14">
      <c r="A33" s="6" t="s">
        <v>91</v>
      </c>
      <c r="B33" s="3" t="s">
        <v>396</v>
      </c>
      <c r="C33" s="3" t="s">
        <v>106</v>
      </c>
      <c r="D33" s="3" t="s">
        <v>49</v>
      </c>
      <c r="E33" s="3" t="s">
        <v>397</v>
      </c>
      <c r="F33" s="3"/>
      <c r="G33" s="3"/>
      <c r="H33" s="3"/>
      <c r="I33" s="3"/>
      <c r="J33" s="3"/>
      <c r="K33" s="3"/>
      <c r="L33" s="3" t="s">
        <v>75</v>
      </c>
      <c r="M33" s="3" t="s">
        <v>76</v>
      </c>
      <c r="N33" s="7"/>
    </row>
    <row r="34" spans="1:14">
      <c r="A34" s="6" t="s">
        <v>91</v>
      </c>
      <c r="B34" s="3" t="s">
        <v>398</v>
      </c>
      <c r="C34" s="3" t="s">
        <v>112</v>
      </c>
      <c r="D34" s="3" t="s">
        <v>49</v>
      </c>
      <c r="E34" s="3" t="s">
        <v>399</v>
      </c>
      <c r="F34" s="3" t="s">
        <v>381</v>
      </c>
      <c r="G34" s="3" t="s">
        <v>75</v>
      </c>
      <c r="H34" s="3" t="s">
        <v>76</v>
      </c>
      <c r="I34" s="3" t="s">
        <v>94</v>
      </c>
      <c r="J34" s="3" t="s">
        <v>49</v>
      </c>
      <c r="K34" t="s">
        <v>400</v>
      </c>
      <c r="L34" s="3"/>
      <c r="M34" s="3"/>
      <c r="N34" s="7"/>
    </row>
    <row r="35" spans="1:14">
      <c r="A35" s="6" t="s">
        <v>91</v>
      </c>
      <c r="B35" s="3" t="s">
        <v>401</v>
      </c>
      <c r="C35" s="3" t="s">
        <v>106</v>
      </c>
      <c r="D35" s="3" t="s">
        <v>49</v>
      </c>
      <c r="E35" s="3" t="s">
        <v>402</v>
      </c>
      <c r="F35" s="3"/>
      <c r="G35" s="3"/>
      <c r="H35" s="3"/>
      <c r="I35" s="3"/>
      <c r="J35" s="3"/>
      <c r="K35" s="3"/>
      <c r="L35" s="3" t="s">
        <v>75</v>
      </c>
      <c r="M35" t="s">
        <v>76</v>
      </c>
      <c r="N35" s="7"/>
    </row>
    <row r="36" spans="1:14">
      <c r="A36" s="6" t="s">
        <v>91</v>
      </c>
      <c r="B36" s="3" t="s">
        <v>403</v>
      </c>
      <c r="C36" s="3" t="s">
        <v>112</v>
      </c>
      <c r="D36" s="3" t="s">
        <v>49</v>
      </c>
      <c r="E36" s="3" t="s">
        <v>404</v>
      </c>
      <c r="F36" s="3" t="s">
        <v>383</v>
      </c>
      <c r="G36" s="3" t="s">
        <v>75</v>
      </c>
      <c r="H36" s="3" t="s">
        <v>76</v>
      </c>
      <c r="I36" s="3" t="s">
        <v>94</v>
      </c>
      <c r="J36" s="3" t="s">
        <v>49</v>
      </c>
      <c r="K36" s="3" t="s">
        <v>405</v>
      </c>
      <c r="L36" s="3"/>
      <c r="M36" s="3"/>
      <c r="N36" s="7"/>
    </row>
    <row r="37" spans="1:14">
      <c r="A37" s="54" t="s">
        <v>118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>
      <c r="A38" s="62" t="s">
        <v>58</v>
      </c>
      <c r="B38" s="53" t="s">
        <v>59</v>
      </c>
      <c r="C38" s="53" t="s">
        <v>119</v>
      </c>
      <c r="D38" s="53" t="s">
        <v>103</v>
      </c>
      <c r="E38" s="53" t="s">
        <v>87</v>
      </c>
      <c r="F38" s="53" t="s">
        <v>88</v>
      </c>
      <c r="G38" s="53"/>
      <c r="H38" s="53"/>
      <c r="I38" s="53"/>
      <c r="J38" s="53"/>
      <c r="K38" s="53"/>
      <c r="L38" s="53" t="s">
        <v>104</v>
      </c>
      <c r="M38" s="53"/>
      <c r="N38" s="57" t="s">
        <v>89</v>
      </c>
    </row>
    <row r="39" spans="1:14">
      <c r="A39" s="62"/>
      <c r="B39" s="53"/>
      <c r="C39" s="53"/>
      <c r="D39" s="53"/>
      <c r="E39" s="53"/>
      <c r="F39" s="13" t="s">
        <v>59</v>
      </c>
      <c r="G39" s="13" t="s">
        <v>60</v>
      </c>
      <c r="H39" s="13" t="s">
        <v>65</v>
      </c>
      <c r="I39" s="13" t="s">
        <v>90</v>
      </c>
      <c r="J39" s="13" t="s">
        <v>61</v>
      </c>
      <c r="K39" s="13" t="s">
        <v>87</v>
      </c>
      <c r="L39" s="13" t="s">
        <v>60</v>
      </c>
      <c r="M39" s="13" t="s">
        <v>65</v>
      </c>
      <c r="N39" s="57"/>
    </row>
    <row r="40" spans="1:14">
      <c r="A40" s="6" t="s">
        <v>91</v>
      </c>
      <c r="B40" s="3" t="s">
        <v>406</v>
      </c>
      <c r="C40" s="3" t="s">
        <v>69</v>
      </c>
      <c r="D40" s="3" t="s">
        <v>49</v>
      </c>
      <c r="E40" s="3" t="s">
        <v>407</v>
      </c>
      <c r="F40" s="3"/>
      <c r="G40" s="3"/>
      <c r="H40" s="3"/>
      <c r="I40" s="3"/>
      <c r="J40" s="3"/>
      <c r="K40" s="3"/>
      <c r="L40" s="3" t="s">
        <v>75</v>
      </c>
      <c r="M40" s="3" t="s">
        <v>76</v>
      </c>
      <c r="N40" s="8" t="s">
        <v>349</v>
      </c>
    </row>
    <row r="41" spans="1:14">
      <c r="A41" s="14" t="s">
        <v>91</v>
      </c>
      <c r="B41" s="15" t="s">
        <v>408</v>
      </c>
      <c r="C41" s="15" t="s">
        <v>69</v>
      </c>
      <c r="D41" s="15" t="s">
        <v>49</v>
      </c>
      <c r="E41" s="15" t="s">
        <v>409</v>
      </c>
      <c r="F41" s="15" t="s">
        <v>379</v>
      </c>
      <c r="G41" s="15" t="s">
        <v>75</v>
      </c>
      <c r="H41" s="15" t="s">
        <v>76</v>
      </c>
      <c r="I41" s="15" t="s">
        <v>94</v>
      </c>
      <c r="J41" s="15" t="s">
        <v>49</v>
      </c>
      <c r="K41" s="15" t="s">
        <v>410</v>
      </c>
      <c r="L41" s="3" t="s">
        <v>179</v>
      </c>
      <c r="M41" s="15"/>
      <c r="N41" s="8" t="s">
        <v>349</v>
      </c>
    </row>
  </sheetData>
  <mergeCells count="62">
    <mergeCell ref="B10:D10"/>
    <mergeCell ref="J23:L23"/>
    <mergeCell ref="M23:N23"/>
    <mergeCell ref="B22:B25"/>
    <mergeCell ref="D22:D25"/>
    <mergeCell ref="J25:L25"/>
    <mergeCell ref="J24:L24"/>
    <mergeCell ref="M22:N22"/>
    <mergeCell ref="B6:E6"/>
    <mergeCell ref="A1:E1"/>
    <mergeCell ref="B2:E2"/>
    <mergeCell ref="B3:E3"/>
    <mergeCell ref="B4:E4"/>
    <mergeCell ref="B5:E5"/>
    <mergeCell ref="G16:I16"/>
    <mergeCell ref="J16:N16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G15:I15"/>
    <mergeCell ref="C27:C28"/>
    <mergeCell ref="J15:N15"/>
    <mergeCell ref="E27:E28"/>
    <mergeCell ref="G17:I17"/>
    <mergeCell ref="J17:N17"/>
    <mergeCell ref="A18:N18"/>
    <mergeCell ref="A19:A20"/>
    <mergeCell ref="B19:B20"/>
    <mergeCell ref="C19:C20"/>
    <mergeCell ref="D19:D20"/>
    <mergeCell ref="E19:L19"/>
    <mergeCell ref="M19:N20"/>
    <mergeCell ref="J20:L20"/>
    <mergeCell ref="J21:L21"/>
    <mergeCell ref="M21:N21"/>
    <mergeCell ref="J22:L22"/>
    <mergeCell ref="D27:D28"/>
    <mergeCell ref="A26:N26"/>
    <mergeCell ref="L38:M38"/>
    <mergeCell ref="N38:N39"/>
    <mergeCell ref="F27:K27"/>
    <mergeCell ref="L27:M27"/>
    <mergeCell ref="N27:N28"/>
    <mergeCell ref="A37:N37"/>
    <mergeCell ref="A38:A39"/>
    <mergeCell ref="B38:B39"/>
    <mergeCell ref="C38:C39"/>
    <mergeCell ref="D38:D39"/>
    <mergeCell ref="E38:E39"/>
    <mergeCell ref="F38:K38"/>
    <mergeCell ref="A27:A28"/>
    <mergeCell ref="B27:B28"/>
  </mergeCells>
  <hyperlinks>
    <hyperlink ref="A1:E1" location="Clases!A1" display="&lt;-Volver al inicio" xr:uid="{C46333BB-8D72-44B7-A3D8-3FCC47EA38D7}"/>
    <hyperlink ref="E9" location="'Venta'!B2" display="Venta" xr:uid="{A015447D-C9B5-4293-A070-DB17501E4F3F}"/>
    <hyperlink ref="E10" location="'Producto'!B2" display="Producto" xr:uid="{66AF2CAE-8400-404E-8CF7-C58A01F024B0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1E987C81-7049-4A98-8C53-0A8AAD75E142}">
          <x14:formula1>
            <xm:f>Valores!$D$2:$D$3</xm:f>
          </x14:formula1>
          <xm:sqref>B5</xm:sqref>
        </x14:dataValidation>
        <x14:dataValidation type="list" allowBlank="1" showInputMessage="1" showErrorMessage="1" xr:uid="{8327DEA1-736F-4482-A629-8D871726AE80}">
          <x14:formula1>
            <xm:f>Valores!$E$2:$E$3</xm:f>
          </x14:formula1>
          <xm:sqref>B6 E14:E17 D40:D41 J40:J41 I21:I25 D29:D36 J29:J36</xm:sqref>
        </x14:dataValidation>
        <x14:dataValidation type="list" allowBlank="1" showInputMessage="1" showErrorMessage="1" xr:uid="{F990BEA8-0EA3-4686-B6B6-4CD0813DA7EF}">
          <x14:formula1>
            <xm:f>Valores!$F$2:$F$5</xm:f>
          </x14:formula1>
          <xm:sqref>A14:A17 A40:A41 A21:A25 A29:A36</xm:sqref>
        </x14:dataValidation>
        <x14:dataValidation type="list" allowBlank="1" showInputMessage="1" showErrorMessage="1" xr:uid="{7E9CA295-1713-4403-90F7-146A3F0293D3}">
          <x14:formula1>
            <xm:f>Valores!$G$2:$G$12</xm:f>
          </x14:formula1>
          <xm:sqref>C14:C17 G29:G36 F21:F25 G40:G41 L29:L36</xm:sqref>
        </x14:dataValidation>
        <x14:dataValidation type="list" allowBlank="1" showInputMessage="1" showErrorMessage="1" xr:uid="{BFBA6B6F-E457-4946-ACD8-EC33BDF5F2C3}">
          <x14:formula1>
            <xm:f>Valores!$H$2:$H$3</xm:f>
          </x14:formula1>
          <xm:sqref>F14:F17 C40:C41</xm:sqref>
        </x14:dataValidation>
        <x14:dataValidation type="list" allowBlank="1" showInputMessage="1" showErrorMessage="1" xr:uid="{8A455997-7F08-4914-BD52-B131DC9D1F75}">
          <x14:formula1>
            <xm:f>Valores!$I$2:$I$3</xm:f>
          </x14:formula1>
          <xm:sqref>C21:C25</xm:sqref>
        </x14:dataValidation>
        <x14:dataValidation type="list" allowBlank="1" showInputMessage="1" showErrorMessage="1" xr:uid="{209C9D7A-2937-4EC8-9756-4207E50496FE}">
          <x14:formula1>
            <xm:f>Valores!$J$2:$J$3</xm:f>
          </x14:formula1>
          <xm:sqref>I40:I41 H21:H25 I29:I36</xm:sqref>
        </x14:dataValidation>
        <x14:dataValidation type="list" allowBlank="1" showInputMessage="1" showErrorMessage="1" xr:uid="{CDCE1569-2CE9-4D36-8E5E-94CC90202154}">
          <x14:formula1>
            <xm:f>Valores!$K$2:$K$3</xm:f>
          </x14:formula1>
          <xm:sqref>C29:C36</xm:sqref>
        </x14:dataValidation>
        <x14:dataValidation type="list" allowBlank="1" showInputMessage="1" showErrorMessage="1" xr:uid="{DAC9EB52-6DFB-45A2-B606-73939F133795}">
          <x14:formula1>
            <xm:f>Valores!$L$2:$L$13</xm:f>
          </x14:formula1>
          <xm:sqref>L40:L41</xm:sqref>
        </x14:dataValidation>
        <x14:dataValidation type="list" allowBlank="1" showInputMessage="1" showErrorMessage="1" xr:uid="{733C78E9-921F-4EDA-A64F-B49443285F05}">
          <x14:formula1>
            <xm:f>Valores!$B$2:$B$3</xm:f>
          </x14:formula1>
          <xm:sqref>A9:A10</xm:sqref>
        </x14:dataValidation>
        <x14:dataValidation type="list" allowBlank="1" showInputMessage="1" showErrorMessage="1" xr:uid="{3D604140-C057-498E-B66F-B829FA70FE8C}">
          <x14:formula1>
            <xm:f>Valores!$C$2:$C$7</xm:f>
          </x14:formula1>
          <xm:sqref>B9:B10</xm:sqref>
        </x14:dataValidation>
        <x14:dataValidation type="list" allowBlank="1" showInputMessage="1" showErrorMessage="1" xr:uid="{F5A6EF1C-8383-4DB0-A424-2419C4552582}">
          <x14:formula1>
            <xm:f>Clases!$A$2:$A$13</xm:f>
          </x14:formula1>
          <xm:sqref>E9:E10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2F102-79BA-4542-8918-7AF45E0E5531}">
  <dimension ref="A1:N40"/>
  <sheetViews>
    <sheetView zoomScale="55" zoomScaleNormal="55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73.1406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54.28515625" style="1" customWidth="1"/>
    <col min="12" max="12" width="17.5703125" style="1" bestFit="1" customWidth="1"/>
    <col min="13" max="13" width="16.28515625" style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Clases!A14</f>
        <v>Pago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Clases!B14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Clases!C14</f>
        <v>Clase que representa un pago realizado por el cliente, incluyendo información sobre el monto, fecha y método de pago utilizado.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  <c r="F6" s="39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54</v>
      </c>
      <c r="B9" s="70" t="s">
        <v>55</v>
      </c>
      <c r="C9" s="70"/>
      <c r="D9" s="70"/>
      <c r="E9" s="36" t="s">
        <v>23</v>
      </c>
    </row>
    <row r="10" spans="1:14">
      <c r="A10" s="66" t="s">
        <v>57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1:14">
      <c r="A11" s="73" t="s">
        <v>58</v>
      </c>
      <c r="B11" s="71" t="s">
        <v>59</v>
      </c>
      <c r="C11" s="71" t="s">
        <v>60</v>
      </c>
      <c r="D11" s="71"/>
      <c r="E11" s="71" t="s">
        <v>61</v>
      </c>
      <c r="F11" s="71" t="s">
        <v>62</v>
      </c>
      <c r="G11" s="71" t="s">
        <v>63</v>
      </c>
      <c r="H11" s="71"/>
      <c r="I11" s="71"/>
      <c r="J11" s="71" t="s">
        <v>64</v>
      </c>
      <c r="K11" s="71"/>
      <c r="L11" s="71"/>
      <c r="M11" s="71"/>
      <c r="N11" s="72"/>
    </row>
    <row r="12" spans="1:14">
      <c r="A12" s="73"/>
      <c r="B12" s="71"/>
      <c r="C12" s="10" t="s">
        <v>60</v>
      </c>
      <c r="D12" s="10" t="s">
        <v>65</v>
      </c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4">
      <c r="A13" s="6" t="s">
        <v>66</v>
      </c>
      <c r="B13" s="3" t="s">
        <v>133</v>
      </c>
      <c r="C13" s="3" t="s">
        <v>68</v>
      </c>
      <c r="D13" s="3"/>
      <c r="E13" s="3" t="s">
        <v>49</v>
      </c>
      <c r="F13" s="3" t="s">
        <v>69</v>
      </c>
      <c r="G13" s="64"/>
      <c r="H13" s="64"/>
      <c r="I13" s="64"/>
      <c r="J13" s="64" t="s">
        <v>411</v>
      </c>
      <c r="K13" s="64"/>
      <c r="L13" s="64"/>
      <c r="M13" s="64"/>
      <c r="N13" s="65"/>
    </row>
    <row r="14" spans="1:14">
      <c r="A14" s="6" t="s">
        <v>66</v>
      </c>
      <c r="B14" s="3" t="s">
        <v>379</v>
      </c>
      <c r="C14" s="3" t="s">
        <v>75</v>
      </c>
      <c r="D14" s="3" t="s">
        <v>76</v>
      </c>
      <c r="E14" s="3" t="s">
        <v>49</v>
      </c>
      <c r="F14" s="3" t="s">
        <v>69</v>
      </c>
      <c r="G14" s="64"/>
      <c r="H14" s="64"/>
      <c r="I14" s="64"/>
      <c r="J14" s="64" t="s">
        <v>412</v>
      </c>
      <c r="K14" s="64"/>
      <c r="L14" s="64"/>
      <c r="M14" s="64"/>
      <c r="N14" s="65"/>
    </row>
    <row r="15" spans="1:14">
      <c r="A15" s="6" t="s">
        <v>66</v>
      </c>
      <c r="B15" s="3" t="s">
        <v>413</v>
      </c>
      <c r="C15" s="3" t="s">
        <v>75</v>
      </c>
      <c r="D15" s="3" t="s">
        <v>414</v>
      </c>
      <c r="E15" s="3" t="s">
        <v>49</v>
      </c>
      <c r="F15" s="3" t="s">
        <v>69</v>
      </c>
      <c r="G15" s="64"/>
      <c r="H15" s="64"/>
      <c r="I15" s="64"/>
      <c r="J15" s="64" t="s">
        <v>415</v>
      </c>
      <c r="K15" s="64"/>
      <c r="L15" s="64"/>
      <c r="M15" s="64"/>
      <c r="N15" s="65"/>
    </row>
    <row r="16" spans="1:14">
      <c r="A16" s="6" t="s">
        <v>66</v>
      </c>
      <c r="B16" s="3" t="s">
        <v>416</v>
      </c>
      <c r="C16" s="3" t="s">
        <v>75</v>
      </c>
      <c r="D16" s="3" t="s">
        <v>417</v>
      </c>
      <c r="E16" s="3" t="s">
        <v>49</v>
      </c>
      <c r="F16" s="3" t="s">
        <v>69</v>
      </c>
      <c r="G16" s="64"/>
      <c r="H16" s="64"/>
      <c r="I16" s="64"/>
      <c r="J16" s="64" t="s">
        <v>418</v>
      </c>
      <c r="K16" s="64"/>
      <c r="L16" s="64"/>
      <c r="M16" s="64"/>
      <c r="N16" s="65"/>
    </row>
    <row r="17" spans="1:14">
      <c r="A17" s="81" t="s">
        <v>85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3"/>
    </row>
    <row r="18" spans="1:14">
      <c r="A18" s="84" t="s">
        <v>58</v>
      </c>
      <c r="B18" s="79" t="s">
        <v>59</v>
      </c>
      <c r="C18" s="79" t="s">
        <v>86</v>
      </c>
      <c r="D18" s="79" t="s">
        <v>87</v>
      </c>
      <c r="E18" s="79" t="s">
        <v>88</v>
      </c>
      <c r="F18" s="79"/>
      <c r="G18" s="79"/>
      <c r="H18" s="79"/>
      <c r="I18" s="79"/>
      <c r="J18" s="79"/>
      <c r="K18" s="79"/>
      <c r="L18" s="79"/>
      <c r="M18" s="79" t="s">
        <v>89</v>
      </c>
      <c r="N18" s="80"/>
    </row>
    <row r="19" spans="1:14">
      <c r="A19" s="84"/>
      <c r="B19" s="79"/>
      <c r="C19" s="79"/>
      <c r="D19" s="79"/>
      <c r="E19" s="11" t="s">
        <v>59</v>
      </c>
      <c r="F19" s="11" t="s">
        <v>60</v>
      </c>
      <c r="G19" s="11" t="s">
        <v>65</v>
      </c>
      <c r="H19" s="11" t="s">
        <v>90</v>
      </c>
      <c r="I19" s="11" t="s">
        <v>61</v>
      </c>
      <c r="J19" s="79" t="s">
        <v>87</v>
      </c>
      <c r="K19" s="79"/>
      <c r="L19" s="79"/>
      <c r="M19" s="79"/>
      <c r="N19" s="80"/>
    </row>
    <row r="20" spans="1:14">
      <c r="A20" s="6" t="s">
        <v>91</v>
      </c>
      <c r="B20" s="3" t="str">
        <f>B2</f>
        <v>Pago</v>
      </c>
      <c r="C20" s="3" t="s">
        <v>92</v>
      </c>
      <c r="D20" s="3" t="s">
        <v>419</v>
      </c>
      <c r="E20" s="3"/>
      <c r="F20" s="3"/>
      <c r="G20" s="3"/>
      <c r="H20" s="3"/>
      <c r="I20" s="3"/>
      <c r="J20" s="45"/>
      <c r="K20" s="48"/>
      <c r="L20" s="49"/>
      <c r="M20" s="45"/>
      <c r="N20" s="46"/>
    </row>
    <row r="21" spans="1:14">
      <c r="A21" s="6" t="s">
        <v>91</v>
      </c>
      <c r="B21" s="3" t="str">
        <f>B2</f>
        <v>Pago</v>
      </c>
      <c r="C21" s="43" t="s">
        <v>97</v>
      </c>
      <c r="D21" s="43" t="s">
        <v>420</v>
      </c>
      <c r="E21" s="1" t="s">
        <v>133</v>
      </c>
      <c r="F21" s="3" t="s">
        <v>68</v>
      </c>
      <c r="G21" s="3"/>
      <c r="H21" s="3" t="s">
        <v>94</v>
      </c>
      <c r="I21" s="3" t="s">
        <v>49</v>
      </c>
      <c r="J21" s="45" t="s">
        <v>421</v>
      </c>
      <c r="K21" s="48"/>
      <c r="L21" s="49"/>
      <c r="M21" s="45"/>
      <c r="N21" s="46"/>
    </row>
    <row r="22" spans="1:14">
      <c r="A22" s="6" t="s">
        <v>91</v>
      </c>
      <c r="B22" s="3" t="s">
        <v>29</v>
      </c>
      <c r="C22" s="85"/>
      <c r="D22" s="85"/>
      <c r="E22" s="3" t="s">
        <v>379</v>
      </c>
      <c r="F22" s="3" t="s">
        <v>75</v>
      </c>
      <c r="G22" s="3" t="s">
        <v>76</v>
      </c>
      <c r="H22" s="3" t="s">
        <v>94</v>
      </c>
      <c r="I22" s="3" t="s">
        <v>49</v>
      </c>
      <c r="J22" s="45" t="s">
        <v>422</v>
      </c>
      <c r="K22" s="48"/>
      <c r="L22" s="49"/>
      <c r="M22" s="28"/>
      <c r="N22" s="31"/>
    </row>
    <row r="23" spans="1:14">
      <c r="A23" s="6" t="s">
        <v>91</v>
      </c>
      <c r="B23" s="3" t="s">
        <v>29</v>
      </c>
      <c r="C23" s="85"/>
      <c r="D23" s="85"/>
      <c r="E23" s="3" t="s">
        <v>413</v>
      </c>
      <c r="F23" s="3" t="s">
        <v>75</v>
      </c>
      <c r="G23" s="3" t="s">
        <v>414</v>
      </c>
      <c r="H23" s="3" t="s">
        <v>94</v>
      </c>
      <c r="I23" s="3" t="s">
        <v>49</v>
      </c>
      <c r="J23" s="45" t="s">
        <v>423</v>
      </c>
      <c r="K23" s="48"/>
      <c r="L23" s="49"/>
      <c r="M23" s="28"/>
      <c r="N23" s="31"/>
    </row>
    <row r="24" spans="1:14">
      <c r="A24" s="6" t="s">
        <v>91</v>
      </c>
      <c r="B24" s="3" t="s">
        <v>29</v>
      </c>
      <c r="C24" s="44"/>
      <c r="D24" s="44"/>
      <c r="E24" s="3" t="s">
        <v>416</v>
      </c>
      <c r="F24" s="3" t="s">
        <v>75</v>
      </c>
      <c r="G24" s="3" t="s">
        <v>417</v>
      </c>
      <c r="H24" s="3" t="s">
        <v>94</v>
      </c>
      <c r="I24" s="3" t="s">
        <v>49</v>
      </c>
      <c r="J24" s="45" t="s">
        <v>424</v>
      </c>
      <c r="K24" s="48"/>
      <c r="L24" s="49"/>
      <c r="M24" s="28"/>
      <c r="N24" s="31"/>
    </row>
    <row r="25" spans="1:14">
      <c r="A25" s="58" t="s">
        <v>101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60"/>
    </row>
    <row r="26" spans="1:14">
      <c r="A26" s="63" t="s">
        <v>58</v>
      </c>
      <c r="B26" s="47" t="s">
        <v>59</v>
      </c>
      <c r="C26" s="47" t="s">
        <v>102</v>
      </c>
      <c r="D26" s="47" t="s">
        <v>103</v>
      </c>
      <c r="E26" s="47" t="s">
        <v>87</v>
      </c>
      <c r="F26" s="47" t="s">
        <v>88</v>
      </c>
      <c r="G26" s="47"/>
      <c r="H26" s="47"/>
      <c r="I26" s="47"/>
      <c r="J26" s="47"/>
      <c r="K26" s="47"/>
      <c r="L26" s="47" t="s">
        <v>104</v>
      </c>
      <c r="M26" s="47"/>
      <c r="N26" s="61" t="s">
        <v>89</v>
      </c>
    </row>
    <row r="27" spans="1:14">
      <c r="A27" s="63"/>
      <c r="B27" s="47"/>
      <c r="C27" s="47"/>
      <c r="D27" s="47"/>
      <c r="E27" s="47"/>
      <c r="F27" s="12" t="s">
        <v>59</v>
      </c>
      <c r="G27" s="12" t="s">
        <v>60</v>
      </c>
      <c r="H27" s="12" t="s">
        <v>65</v>
      </c>
      <c r="I27" s="12" t="s">
        <v>90</v>
      </c>
      <c r="J27" s="12" t="s">
        <v>61</v>
      </c>
      <c r="K27" s="12" t="s">
        <v>87</v>
      </c>
      <c r="L27" s="12" t="s">
        <v>60</v>
      </c>
      <c r="M27" s="12" t="s">
        <v>65</v>
      </c>
      <c r="N27" s="61"/>
    </row>
    <row r="28" spans="1:14">
      <c r="A28" s="6" t="s">
        <v>91</v>
      </c>
      <c r="B28" s="3" t="s">
        <v>140</v>
      </c>
      <c r="C28" s="3" t="s">
        <v>106</v>
      </c>
      <c r="D28" s="3" t="s">
        <v>49</v>
      </c>
      <c r="E28" s="3" t="s">
        <v>141</v>
      </c>
      <c r="F28" s="3"/>
      <c r="G28" s="3"/>
      <c r="H28" s="3"/>
      <c r="I28" s="3"/>
      <c r="J28" s="3"/>
      <c r="K28" s="3"/>
      <c r="L28" s="3" t="s">
        <v>68</v>
      </c>
      <c r="M28" s="3"/>
      <c r="N28" s="7"/>
    </row>
    <row r="29" spans="1:14">
      <c r="A29" s="6" t="s">
        <v>91</v>
      </c>
      <c r="B29" s="3" t="s">
        <v>162</v>
      </c>
      <c r="C29" s="3" t="s">
        <v>112</v>
      </c>
      <c r="D29" s="3" t="s">
        <v>49</v>
      </c>
      <c r="E29" s="3" t="s">
        <v>163</v>
      </c>
      <c r="F29" s="3" t="s">
        <v>133</v>
      </c>
      <c r="G29" s="3" t="s">
        <v>68</v>
      </c>
      <c r="H29" s="3"/>
      <c r="I29" s="3" t="s">
        <v>94</v>
      </c>
      <c r="J29" s="3" t="s">
        <v>49</v>
      </c>
      <c r="K29" s="3"/>
      <c r="L29" s="3"/>
      <c r="M29" s="3"/>
      <c r="N29" s="7"/>
    </row>
    <row r="30" spans="1:14">
      <c r="A30" s="6" t="s">
        <v>91</v>
      </c>
      <c r="B30" s="3" t="s">
        <v>391</v>
      </c>
      <c r="C30" s="3" t="s">
        <v>106</v>
      </c>
      <c r="D30" s="3" t="s">
        <v>49</v>
      </c>
      <c r="E30" s="3" t="s">
        <v>392</v>
      </c>
      <c r="F30" s="3"/>
      <c r="G30" s="3"/>
      <c r="H30" s="3"/>
      <c r="I30" s="3"/>
      <c r="J30" s="3"/>
      <c r="K30" s="3"/>
      <c r="L30" s="3" t="s">
        <v>75</v>
      </c>
      <c r="M30" s="3" t="s">
        <v>76</v>
      </c>
      <c r="N30" s="7"/>
    </row>
    <row r="31" spans="1:14">
      <c r="A31" s="6" t="s">
        <v>91</v>
      </c>
      <c r="B31" s="3" t="s">
        <v>393</v>
      </c>
      <c r="C31" s="3" t="s">
        <v>112</v>
      </c>
      <c r="D31" s="3" t="s">
        <v>49</v>
      </c>
      <c r="E31" s="3" t="s">
        <v>394</v>
      </c>
      <c r="F31" s="3" t="s">
        <v>379</v>
      </c>
      <c r="G31" s="3" t="s">
        <v>75</v>
      </c>
      <c r="H31" s="3" t="s">
        <v>76</v>
      </c>
      <c r="I31" s="3" t="s">
        <v>94</v>
      </c>
      <c r="J31" s="3" t="s">
        <v>49</v>
      </c>
      <c r="K31" s="3"/>
      <c r="L31" s="3"/>
      <c r="M31" s="3"/>
      <c r="N31" s="7"/>
    </row>
    <row r="32" spans="1:14">
      <c r="A32" s="6" t="s">
        <v>91</v>
      </c>
      <c r="B32" s="3" t="s">
        <v>425</v>
      </c>
      <c r="C32" s="3" t="s">
        <v>106</v>
      </c>
      <c r="D32" s="3" t="s">
        <v>49</v>
      </c>
      <c r="E32" s="3" t="s">
        <v>426</v>
      </c>
      <c r="F32" s="3"/>
      <c r="G32" s="3"/>
      <c r="H32" s="3"/>
      <c r="I32" s="3"/>
      <c r="J32" s="3"/>
      <c r="K32" s="3"/>
      <c r="L32" s="3" t="s">
        <v>75</v>
      </c>
      <c r="M32" s="3" t="s">
        <v>414</v>
      </c>
      <c r="N32" s="7"/>
    </row>
    <row r="33" spans="1:14">
      <c r="A33" s="6" t="s">
        <v>91</v>
      </c>
      <c r="B33" s="3" t="s">
        <v>427</v>
      </c>
      <c r="C33" s="3" t="s">
        <v>112</v>
      </c>
      <c r="D33" s="3" t="s">
        <v>49</v>
      </c>
      <c r="E33" s="3" t="s">
        <v>428</v>
      </c>
      <c r="F33" t="s">
        <v>413</v>
      </c>
      <c r="G33" s="3" t="s">
        <v>75</v>
      </c>
      <c r="H33" s="3" t="s">
        <v>414</v>
      </c>
      <c r="I33" s="3" t="s">
        <v>94</v>
      </c>
      <c r="J33" s="3" t="s">
        <v>49</v>
      </c>
      <c r="K33" s="3"/>
      <c r="L33" s="3"/>
      <c r="M33" s="3"/>
      <c r="N33" s="7"/>
    </row>
    <row r="34" spans="1:14">
      <c r="A34" s="6" t="s">
        <v>91</v>
      </c>
      <c r="B34" s="3" t="s">
        <v>429</v>
      </c>
      <c r="C34" s="3" t="s">
        <v>106</v>
      </c>
      <c r="D34" s="3" t="s">
        <v>49</v>
      </c>
      <c r="E34" s="3" t="s">
        <v>430</v>
      </c>
      <c r="F34" s="3"/>
      <c r="G34" s="3"/>
      <c r="H34" s="3"/>
      <c r="I34" s="3"/>
      <c r="J34" s="3"/>
      <c r="K34" s="3"/>
      <c r="L34" s="3" t="s">
        <v>75</v>
      </c>
      <c r="M34" s="3" t="s">
        <v>417</v>
      </c>
      <c r="N34" s="7"/>
    </row>
    <row r="35" spans="1:14">
      <c r="A35" s="6" t="s">
        <v>91</v>
      </c>
      <c r="B35" s="3" t="s">
        <v>431</v>
      </c>
      <c r="C35" s="3" t="s">
        <v>112</v>
      </c>
      <c r="D35" s="3" t="s">
        <v>49</v>
      </c>
      <c r="E35" s="3" t="s">
        <v>432</v>
      </c>
      <c r="F35" s="3" t="s">
        <v>416</v>
      </c>
      <c r="G35" s="3" t="s">
        <v>75</v>
      </c>
      <c r="H35" s="3" t="s">
        <v>417</v>
      </c>
      <c r="I35" s="3" t="s">
        <v>94</v>
      </c>
      <c r="J35" s="3" t="s">
        <v>49</v>
      </c>
      <c r="K35" s="3"/>
      <c r="L35" s="3"/>
      <c r="M35" s="3"/>
      <c r="N35" s="7"/>
    </row>
    <row r="36" spans="1:14">
      <c r="A36" s="54" t="s">
        <v>118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6"/>
    </row>
    <row r="37" spans="1:14">
      <c r="A37" s="62" t="s">
        <v>58</v>
      </c>
      <c r="B37" s="53" t="s">
        <v>59</v>
      </c>
      <c r="C37" s="53" t="s">
        <v>119</v>
      </c>
      <c r="D37" s="53" t="s">
        <v>103</v>
      </c>
      <c r="E37" s="53" t="s">
        <v>87</v>
      </c>
      <c r="F37" s="53" t="s">
        <v>88</v>
      </c>
      <c r="G37" s="53"/>
      <c r="H37" s="53"/>
      <c r="I37" s="53"/>
      <c r="J37" s="53"/>
      <c r="K37" s="53"/>
      <c r="L37" s="53" t="s">
        <v>104</v>
      </c>
      <c r="M37" s="53"/>
      <c r="N37" s="57" t="s">
        <v>89</v>
      </c>
    </row>
    <row r="38" spans="1:14">
      <c r="A38" s="62"/>
      <c r="B38" s="53"/>
      <c r="C38" s="53"/>
      <c r="D38" s="53"/>
      <c r="E38" s="53"/>
      <c r="F38" s="13" t="s">
        <v>59</v>
      </c>
      <c r="G38" s="13" t="s">
        <v>60</v>
      </c>
      <c r="H38" s="13" t="s">
        <v>65</v>
      </c>
      <c r="I38" s="13" t="s">
        <v>90</v>
      </c>
      <c r="J38" s="13" t="s">
        <v>61</v>
      </c>
      <c r="K38" s="13" t="s">
        <v>87</v>
      </c>
      <c r="L38" s="13" t="s">
        <v>60</v>
      </c>
      <c r="M38" s="13" t="s">
        <v>65</v>
      </c>
      <c r="N38" s="57"/>
    </row>
    <row r="39" spans="1:14">
      <c r="A39" s="6" t="s">
        <v>91</v>
      </c>
      <c r="B39" s="3" t="s">
        <v>433</v>
      </c>
      <c r="C39" s="3" t="s">
        <v>69</v>
      </c>
      <c r="D39" s="3" t="s">
        <v>49</v>
      </c>
      <c r="E39" s="3" t="s">
        <v>434</v>
      </c>
      <c r="F39" s="3" t="s">
        <v>435</v>
      </c>
      <c r="G39" s="3" t="s">
        <v>75</v>
      </c>
      <c r="H39" s="3" t="s">
        <v>23</v>
      </c>
      <c r="I39" s="3" t="s">
        <v>94</v>
      </c>
      <c r="J39" s="3" t="s">
        <v>49</v>
      </c>
      <c r="K39" s="3" t="s">
        <v>436</v>
      </c>
      <c r="L39" s="3" t="s">
        <v>179</v>
      </c>
      <c r="M39" s="3"/>
      <c r="N39" s="7" t="s">
        <v>349</v>
      </c>
    </row>
    <row r="40" spans="1:14">
      <c r="A40" s="14" t="s">
        <v>91</v>
      </c>
      <c r="B40" s="15" t="s">
        <v>437</v>
      </c>
      <c r="C40" s="3" t="s">
        <v>69</v>
      </c>
      <c r="D40" s="3" t="s">
        <v>49</v>
      </c>
      <c r="E40" s="15" t="s">
        <v>438</v>
      </c>
      <c r="F40" s="15"/>
      <c r="G40" s="15"/>
      <c r="H40" s="15"/>
      <c r="I40" s="15"/>
      <c r="J40" s="15"/>
      <c r="K40" s="15"/>
      <c r="L40" s="15" t="s">
        <v>195</v>
      </c>
      <c r="M40" s="15"/>
      <c r="N40" s="8"/>
    </row>
  </sheetData>
  <mergeCells count="60">
    <mergeCell ref="C21:C24"/>
    <mergeCell ref="D21:D24"/>
    <mergeCell ref="J22:L22"/>
    <mergeCell ref="J23:L23"/>
    <mergeCell ref="J24:L24"/>
    <mergeCell ref="G14:I14"/>
    <mergeCell ref="B6:E6"/>
    <mergeCell ref="A1:E1"/>
    <mergeCell ref="B2:E2"/>
    <mergeCell ref="B3:E3"/>
    <mergeCell ref="B4:E4"/>
    <mergeCell ref="B5:E5"/>
    <mergeCell ref="M21:N21"/>
    <mergeCell ref="G15:I15"/>
    <mergeCell ref="J15:N1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G13:I13"/>
    <mergeCell ref="J13:N13"/>
    <mergeCell ref="C26:C27"/>
    <mergeCell ref="J14:N14"/>
    <mergeCell ref="E26:E27"/>
    <mergeCell ref="G16:I16"/>
    <mergeCell ref="J16:N16"/>
    <mergeCell ref="A17:N17"/>
    <mergeCell ref="A18:A19"/>
    <mergeCell ref="B18:B19"/>
    <mergeCell ref="C18:C19"/>
    <mergeCell ref="D18:D19"/>
    <mergeCell ref="E18:L18"/>
    <mergeCell ref="M18:N19"/>
    <mergeCell ref="J19:L19"/>
    <mergeCell ref="J20:L20"/>
    <mergeCell ref="M20:N20"/>
    <mergeCell ref="J21:L21"/>
    <mergeCell ref="D26:D27"/>
    <mergeCell ref="A25:N25"/>
    <mergeCell ref="L37:M37"/>
    <mergeCell ref="N37:N38"/>
    <mergeCell ref="F26:K26"/>
    <mergeCell ref="L26:M26"/>
    <mergeCell ref="N26:N27"/>
    <mergeCell ref="A36:N36"/>
    <mergeCell ref="A37:A38"/>
    <mergeCell ref="B37:B38"/>
    <mergeCell ref="C37:C38"/>
    <mergeCell ref="D37:D38"/>
    <mergeCell ref="E37:E38"/>
    <mergeCell ref="F37:K37"/>
    <mergeCell ref="A26:A27"/>
    <mergeCell ref="B26:B27"/>
  </mergeCells>
  <hyperlinks>
    <hyperlink ref="A1:E1" location="Clases!A1" display="&lt;-Volver al inicio" xr:uid="{B1AEB7E3-6A96-4513-8A24-819248BF77A9}"/>
    <hyperlink ref="E9" location="'Venta'!B2" display="Venta" xr:uid="{FFCE63AE-E9CB-47EF-B145-2F860E3AA0F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3E3D1B3E-55DC-445A-943A-F94E07C5A6AC}">
          <x14:formula1>
            <xm:f>Clases!$A$2:$A$13</xm:f>
          </x14:formula1>
          <xm:sqref>E9</xm:sqref>
        </x14:dataValidation>
        <x14:dataValidation type="list" allowBlank="1" showInputMessage="1" showErrorMessage="1" xr:uid="{D5A32BB9-0A98-4D5F-9214-BEFC43027E53}">
          <x14:formula1>
            <xm:f>Valores!$C$2:$C$7</xm:f>
          </x14:formula1>
          <xm:sqref>B9</xm:sqref>
        </x14:dataValidation>
        <x14:dataValidation type="list" allowBlank="1" showInputMessage="1" showErrorMessage="1" xr:uid="{4F16667E-4CA0-4A3E-9801-7DAA78A5686F}">
          <x14:formula1>
            <xm:f>Valores!$B$2:$B$3</xm:f>
          </x14:formula1>
          <xm:sqref>A9</xm:sqref>
        </x14:dataValidation>
        <x14:dataValidation type="list" allowBlank="1" showInputMessage="1" showErrorMessage="1" xr:uid="{24537BAA-98AD-42B8-8BC8-AD4F15F127D4}">
          <x14:formula1>
            <xm:f>Valores!$L$2:$L$13</xm:f>
          </x14:formula1>
          <xm:sqref>L39</xm:sqref>
        </x14:dataValidation>
        <x14:dataValidation type="list" allowBlank="1" showInputMessage="1" showErrorMessage="1" xr:uid="{8656C520-E6E5-4ABE-9920-5142CCFA448E}">
          <x14:formula1>
            <xm:f>Valores!$K$2:$K$3</xm:f>
          </x14:formula1>
          <xm:sqref>C28:C35</xm:sqref>
        </x14:dataValidation>
        <x14:dataValidation type="list" allowBlank="1" showInputMessage="1" showErrorMessage="1" xr:uid="{6A186E1F-DC33-4B00-B8BD-ACFB3B780481}">
          <x14:formula1>
            <xm:f>Valores!$J$2:$J$3</xm:f>
          </x14:formula1>
          <xm:sqref>I39:I40 H20:H24 I28:I35</xm:sqref>
        </x14:dataValidation>
        <x14:dataValidation type="list" allowBlank="1" showInputMessage="1" showErrorMessage="1" xr:uid="{284E21C8-17A1-45CC-A1C8-51844BEAFE74}">
          <x14:formula1>
            <xm:f>Valores!$I$2:$I$3</xm:f>
          </x14:formula1>
          <xm:sqref>C20:C21</xm:sqref>
        </x14:dataValidation>
        <x14:dataValidation type="list" allowBlank="1" showInputMessage="1" showErrorMessage="1" xr:uid="{4AC16D6A-938F-4F9D-B6D9-073FCD21F725}">
          <x14:formula1>
            <xm:f>Valores!$H$2:$H$3</xm:f>
          </x14:formula1>
          <xm:sqref>F13:F16 C39:C40</xm:sqref>
        </x14:dataValidation>
        <x14:dataValidation type="list" allowBlank="1" showInputMessage="1" showErrorMessage="1" xr:uid="{A3050614-2536-46AE-A359-F11E13BAB2D8}">
          <x14:formula1>
            <xm:f>Valores!$G$2:$G$12</xm:f>
          </x14:formula1>
          <xm:sqref>C13:C16 F20:F24 L40 G39:G40 L28:L35 G28:G35</xm:sqref>
        </x14:dataValidation>
        <x14:dataValidation type="list" allowBlank="1" showInputMessage="1" showErrorMessage="1" xr:uid="{95CA3102-E151-4D17-BFEF-0A449B5E851E}">
          <x14:formula1>
            <xm:f>Valores!$F$2:$F$5</xm:f>
          </x14:formula1>
          <xm:sqref>A13:A16 A28:A35 A39:A40 A20:A24</xm:sqref>
        </x14:dataValidation>
        <x14:dataValidation type="list" allowBlank="1" showInputMessage="1" showErrorMessage="1" xr:uid="{000E2095-1D73-4898-9932-AF6A8582FC56}">
          <x14:formula1>
            <xm:f>Valores!$E$2:$E$3</xm:f>
          </x14:formula1>
          <xm:sqref>J28:J35 B6 E13:E16 J39:J40 I20:I24 D28:D35 D39:D40</xm:sqref>
        </x14:dataValidation>
        <x14:dataValidation type="list" allowBlank="1" showInputMessage="1" showErrorMessage="1" xr:uid="{0BA343F7-C63F-4D5E-B5F6-3C0B5AB8834C}">
          <x14:formula1>
            <xm:f>Valores!$D$2:$D$3</xm:f>
          </x14:formula1>
          <xm:sqref>B5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AA3E-5D16-43E0-8EFE-9FF03D4CC322}">
  <dimension ref="A1:N35"/>
  <sheetViews>
    <sheetView zoomScale="55" zoomScaleNormal="55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8.7109375" style="1" customWidth="1"/>
    <col min="2" max="2" width="31.85546875" style="1" customWidth="1"/>
    <col min="3" max="3" width="27.140625" style="1" bestFit="1" customWidth="1"/>
    <col min="4" max="4" width="77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8.710937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Clases!A15</f>
        <v>Produccion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Clases!B15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Clases!C15</f>
        <v>Clase que representa una producción de bloques en el sistema, incluyendo información sobre la fecha, cantidad producida y detalles de producción.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54</v>
      </c>
      <c r="B9" s="70" t="s">
        <v>185</v>
      </c>
      <c r="C9" s="70"/>
      <c r="D9" s="70"/>
      <c r="E9" s="35" t="s">
        <v>37</v>
      </c>
    </row>
    <row r="10" spans="1:14">
      <c r="A10" s="9" t="s">
        <v>54</v>
      </c>
      <c r="B10" s="70" t="s">
        <v>185</v>
      </c>
      <c r="C10" s="70"/>
      <c r="D10" s="70"/>
      <c r="E10" s="35" t="s">
        <v>33</v>
      </c>
    </row>
    <row r="11" spans="1:14">
      <c r="A11" s="9" t="s">
        <v>56</v>
      </c>
      <c r="B11" s="70" t="s">
        <v>55</v>
      </c>
      <c r="C11" s="70"/>
      <c r="D11" s="70"/>
      <c r="E11" s="35" t="s">
        <v>35</v>
      </c>
    </row>
    <row r="12" spans="1:14">
      <c r="A12" s="66" t="s">
        <v>57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8"/>
    </row>
    <row r="13" spans="1:14">
      <c r="A13" s="73" t="s">
        <v>58</v>
      </c>
      <c r="B13" s="71" t="s">
        <v>59</v>
      </c>
      <c r="C13" s="71" t="s">
        <v>60</v>
      </c>
      <c r="D13" s="71"/>
      <c r="E13" s="71" t="s">
        <v>61</v>
      </c>
      <c r="F13" s="71" t="s">
        <v>62</v>
      </c>
      <c r="G13" s="71" t="s">
        <v>63</v>
      </c>
      <c r="H13" s="71"/>
      <c r="I13" s="71"/>
      <c r="J13" s="71" t="s">
        <v>64</v>
      </c>
      <c r="K13" s="71"/>
      <c r="L13" s="71"/>
      <c r="M13" s="71"/>
      <c r="N13" s="72"/>
    </row>
    <row r="14" spans="1:14">
      <c r="A14" s="73"/>
      <c r="B14" s="71"/>
      <c r="C14" s="10" t="s">
        <v>60</v>
      </c>
      <c r="D14" s="10" t="s">
        <v>65</v>
      </c>
      <c r="E14" s="71"/>
      <c r="F14" s="71"/>
      <c r="G14" s="71"/>
      <c r="H14" s="71"/>
      <c r="I14" s="71"/>
      <c r="J14" s="71"/>
      <c r="K14" s="71"/>
      <c r="L14" s="71"/>
      <c r="M14" s="71"/>
      <c r="N14" s="72"/>
    </row>
    <row r="15" spans="1:14">
      <c r="A15" s="6" t="s">
        <v>66</v>
      </c>
      <c r="B15" s="3" t="s">
        <v>439</v>
      </c>
      <c r="C15" s="3" t="s">
        <v>68</v>
      </c>
      <c r="D15" s="3"/>
      <c r="E15" s="3" t="s">
        <v>49</v>
      </c>
      <c r="F15" s="3" t="s">
        <v>69</v>
      </c>
      <c r="G15" s="64"/>
      <c r="H15" s="64"/>
      <c r="I15" s="64"/>
      <c r="J15" s="64" t="s">
        <v>440</v>
      </c>
      <c r="K15" s="64"/>
      <c r="L15" s="64"/>
      <c r="M15" s="64"/>
      <c r="N15" s="65"/>
    </row>
    <row r="16" spans="1:14">
      <c r="A16" s="6" t="s">
        <v>66</v>
      </c>
      <c r="B16" s="3" t="s">
        <v>441</v>
      </c>
      <c r="C16" s="3" t="s">
        <v>75</v>
      </c>
      <c r="D16" s="3" t="s">
        <v>326</v>
      </c>
      <c r="E16" s="3" t="s">
        <v>49</v>
      </c>
      <c r="F16" s="3" t="s">
        <v>69</v>
      </c>
      <c r="G16" s="64"/>
      <c r="H16" s="64"/>
      <c r="I16" s="64"/>
      <c r="J16" s="64" t="s">
        <v>442</v>
      </c>
      <c r="K16" s="64"/>
      <c r="L16" s="64"/>
      <c r="M16" s="64"/>
      <c r="N16" s="65"/>
    </row>
    <row r="17" spans="1:14">
      <c r="A17" s="81" t="s">
        <v>85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3"/>
    </row>
    <row r="18" spans="1:14">
      <c r="A18" s="84" t="s">
        <v>58</v>
      </c>
      <c r="B18" s="79" t="s">
        <v>59</v>
      </c>
      <c r="C18" s="79" t="s">
        <v>86</v>
      </c>
      <c r="D18" s="79" t="s">
        <v>87</v>
      </c>
      <c r="E18" s="79" t="s">
        <v>88</v>
      </c>
      <c r="F18" s="79"/>
      <c r="G18" s="79"/>
      <c r="H18" s="79"/>
      <c r="I18" s="79"/>
      <c r="J18" s="79"/>
      <c r="K18" s="79"/>
      <c r="L18" s="79"/>
      <c r="M18" s="79" t="s">
        <v>89</v>
      </c>
      <c r="N18" s="80"/>
    </row>
    <row r="19" spans="1:14">
      <c r="A19" s="84"/>
      <c r="B19" s="79"/>
      <c r="C19" s="79"/>
      <c r="D19" s="79"/>
      <c r="E19" s="11" t="s">
        <v>59</v>
      </c>
      <c r="F19" s="11" t="s">
        <v>60</v>
      </c>
      <c r="G19" s="11" t="s">
        <v>65</v>
      </c>
      <c r="H19" s="11" t="s">
        <v>90</v>
      </c>
      <c r="I19" s="11" t="s">
        <v>61</v>
      </c>
      <c r="J19" s="79" t="s">
        <v>87</v>
      </c>
      <c r="K19" s="79"/>
      <c r="L19" s="79"/>
      <c r="M19" s="79"/>
      <c r="N19" s="80"/>
    </row>
    <row r="20" spans="1:14">
      <c r="A20" s="6" t="s">
        <v>66</v>
      </c>
      <c r="B20" s="3" t="str">
        <f>B2</f>
        <v>Produccion</v>
      </c>
      <c r="C20" s="3" t="s">
        <v>92</v>
      </c>
      <c r="D20" s="3" t="s">
        <v>443</v>
      </c>
      <c r="E20" s="3"/>
      <c r="F20" s="3"/>
      <c r="G20" s="3"/>
      <c r="H20" s="3"/>
      <c r="I20" s="3"/>
      <c r="J20" s="45"/>
      <c r="K20" s="48"/>
      <c r="L20" s="49"/>
      <c r="M20" s="45"/>
      <c r="N20" s="46"/>
    </row>
    <row r="21" spans="1:14">
      <c r="A21" s="6" t="s">
        <v>91</v>
      </c>
      <c r="B21" s="43" t="str">
        <f>B2</f>
        <v>Produccion</v>
      </c>
      <c r="C21" s="43" t="s">
        <v>97</v>
      </c>
      <c r="D21" s="43" t="s">
        <v>444</v>
      </c>
      <c r="E21" s="3" t="s">
        <v>439</v>
      </c>
      <c r="F21" s="3" t="s">
        <v>68</v>
      </c>
      <c r="G21" s="3"/>
      <c r="H21" s="3" t="s">
        <v>94</v>
      </c>
      <c r="I21" s="3" t="s">
        <v>49</v>
      </c>
      <c r="J21" s="45" t="s">
        <v>445</v>
      </c>
      <c r="K21" s="48"/>
      <c r="L21" s="49"/>
      <c r="M21" s="45"/>
      <c r="N21" s="46"/>
    </row>
    <row r="22" spans="1:14">
      <c r="A22" s="6" t="s">
        <v>91</v>
      </c>
      <c r="B22" s="44"/>
      <c r="C22" s="44"/>
      <c r="D22" s="44"/>
      <c r="E22" s="3" t="s">
        <v>441</v>
      </c>
      <c r="F22" s="3" t="s">
        <v>75</v>
      </c>
      <c r="G22" s="3" t="s">
        <v>326</v>
      </c>
      <c r="H22" s="3" t="s">
        <v>94</v>
      </c>
      <c r="I22" s="3" t="s">
        <v>49</v>
      </c>
      <c r="J22" s="45" t="s">
        <v>446</v>
      </c>
      <c r="K22" s="48"/>
      <c r="L22" s="49"/>
      <c r="M22" s="28"/>
      <c r="N22" s="31"/>
    </row>
    <row r="23" spans="1:14">
      <c r="A23" s="58" t="s">
        <v>101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60"/>
    </row>
    <row r="24" spans="1:14">
      <c r="A24" s="63" t="s">
        <v>58</v>
      </c>
      <c r="B24" s="47" t="s">
        <v>59</v>
      </c>
      <c r="C24" s="47" t="s">
        <v>102</v>
      </c>
      <c r="D24" s="47" t="s">
        <v>103</v>
      </c>
      <c r="E24" s="47" t="s">
        <v>87</v>
      </c>
      <c r="F24" s="47" t="s">
        <v>88</v>
      </c>
      <c r="G24" s="47"/>
      <c r="H24" s="47"/>
      <c r="I24" s="47"/>
      <c r="J24" s="47"/>
      <c r="K24" s="47"/>
      <c r="L24" s="47" t="s">
        <v>104</v>
      </c>
      <c r="M24" s="47"/>
      <c r="N24" s="61" t="s">
        <v>89</v>
      </c>
    </row>
    <row r="25" spans="1:14">
      <c r="A25" s="63"/>
      <c r="B25" s="47"/>
      <c r="C25" s="47"/>
      <c r="D25" s="47"/>
      <c r="E25" s="47"/>
      <c r="F25" s="12" t="s">
        <v>59</v>
      </c>
      <c r="G25" s="12" t="s">
        <v>60</v>
      </c>
      <c r="H25" s="12" t="s">
        <v>65</v>
      </c>
      <c r="I25" s="12" t="s">
        <v>90</v>
      </c>
      <c r="J25" s="12" t="s">
        <v>61</v>
      </c>
      <c r="K25" s="12" t="s">
        <v>87</v>
      </c>
      <c r="L25" s="12" t="s">
        <v>60</v>
      </c>
      <c r="M25" s="12" t="s">
        <v>65</v>
      </c>
      <c r="N25" s="61"/>
    </row>
    <row r="26" spans="1:14">
      <c r="A26" s="6" t="s">
        <v>91</v>
      </c>
      <c r="B26" s="3" t="s">
        <v>447</v>
      </c>
      <c r="C26" s="3" t="s">
        <v>106</v>
      </c>
      <c r="D26" s="3" t="s">
        <v>49</v>
      </c>
      <c r="E26" s="3" t="s">
        <v>448</v>
      </c>
      <c r="F26" s="3"/>
      <c r="G26" s="3"/>
      <c r="H26" s="3"/>
      <c r="I26" s="3"/>
      <c r="J26" s="3"/>
      <c r="K26" s="3"/>
      <c r="L26" s="3" t="s">
        <v>68</v>
      </c>
      <c r="M26" s="3"/>
      <c r="N26" s="7"/>
    </row>
    <row r="27" spans="1:14">
      <c r="A27" s="6" t="s">
        <v>91</v>
      </c>
      <c r="B27" s="3" t="s">
        <v>449</v>
      </c>
      <c r="C27" s="3" t="s">
        <v>112</v>
      </c>
      <c r="D27" s="3" t="s">
        <v>49</v>
      </c>
      <c r="E27" s="3" t="s">
        <v>450</v>
      </c>
      <c r="F27" s="3" t="s">
        <v>439</v>
      </c>
      <c r="G27" s="3" t="s">
        <v>110</v>
      </c>
      <c r="H27" s="3"/>
      <c r="I27" s="3" t="s">
        <v>94</v>
      </c>
      <c r="J27" s="3" t="s">
        <v>49</v>
      </c>
      <c r="K27" s="3" t="s">
        <v>451</v>
      </c>
      <c r="L27" s="3"/>
      <c r="M27" s="3"/>
      <c r="N27" s="7"/>
    </row>
    <row r="28" spans="1:14">
      <c r="A28" s="6" t="s">
        <v>91</v>
      </c>
      <c r="B28" s="3" t="s">
        <v>452</v>
      </c>
      <c r="C28" s="3" t="s">
        <v>106</v>
      </c>
      <c r="D28" s="3" t="s">
        <v>49</v>
      </c>
      <c r="E28" s="3" t="s">
        <v>453</v>
      </c>
      <c r="F28" s="3"/>
      <c r="G28" s="3"/>
      <c r="H28" s="3"/>
      <c r="I28" s="3"/>
      <c r="J28" s="3"/>
      <c r="K28" s="3"/>
      <c r="L28" s="3" t="s">
        <v>75</v>
      </c>
      <c r="M28" s="3" t="s">
        <v>326</v>
      </c>
      <c r="N28" s="7"/>
    </row>
    <row r="29" spans="1:14">
      <c r="A29" s="6" t="s">
        <v>91</v>
      </c>
      <c r="B29" s="3" t="s">
        <v>454</v>
      </c>
      <c r="C29" s="3" t="s">
        <v>112</v>
      </c>
      <c r="D29" s="3" t="s">
        <v>49</v>
      </c>
      <c r="E29" s="3" t="s">
        <v>455</v>
      </c>
      <c r="F29" s="3" t="s">
        <v>441</v>
      </c>
      <c r="G29" s="3" t="s">
        <v>110</v>
      </c>
      <c r="H29" s="3"/>
      <c r="I29" s="3" t="s">
        <v>94</v>
      </c>
      <c r="J29" s="3" t="s">
        <v>49</v>
      </c>
      <c r="K29" s="3" t="s">
        <v>456</v>
      </c>
      <c r="L29" s="3"/>
      <c r="M29" s="3"/>
      <c r="N29" s="7"/>
    </row>
    <row r="30" spans="1:14">
      <c r="A30" s="54" t="s">
        <v>118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6"/>
    </row>
    <row r="31" spans="1:14">
      <c r="A31" s="62" t="s">
        <v>58</v>
      </c>
      <c r="B31" s="53" t="s">
        <v>59</v>
      </c>
      <c r="C31" s="53" t="s">
        <v>119</v>
      </c>
      <c r="D31" s="53" t="s">
        <v>103</v>
      </c>
      <c r="E31" s="53" t="s">
        <v>87</v>
      </c>
      <c r="F31" s="53" t="s">
        <v>88</v>
      </c>
      <c r="G31" s="53"/>
      <c r="H31" s="53"/>
      <c r="I31" s="53"/>
      <c r="J31" s="53"/>
      <c r="K31" s="53"/>
      <c r="L31" s="53" t="s">
        <v>104</v>
      </c>
      <c r="M31" s="53"/>
      <c r="N31" s="57" t="s">
        <v>89</v>
      </c>
    </row>
    <row r="32" spans="1:14">
      <c r="A32" s="62"/>
      <c r="B32" s="53"/>
      <c r="C32" s="53"/>
      <c r="D32" s="53"/>
      <c r="E32" s="53"/>
      <c r="F32" s="13" t="s">
        <v>59</v>
      </c>
      <c r="G32" s="13" t="s">
        <v>60</v>
      </c>
      <c r="H32" s="13" t="s">
        <v>65</v>
      </c>
      <c r="I32" s="13" t="s">
        <v>90</v>
      </c>
      <c r="J32" s="13" t="s">
        <v>61</v>
      </c>
      <c r="K32" s="13" t="s">
        <v>87</v>
      </c>
      <c r="L32" s="13" t="s">
        <v>60</v>
      </c>
      <c r="M32" s="13" t="s">
        <v>65</v>
      </c>
      <c r="N32" s="57"/>
    </row>
    <row r="33" spans="1:14">
      <c r="A33" s="6" t="s">
        <v>91</v>
      </c>
      <c r="B33" s="3" t="s">
        <v>457</v>
      </c>
      <c r="C33" s="3" t="s">
        <v>69</v>
      </c>
      <c r="D33" s="3" t="s">
        <v>49</v>
      </c>
      <c r="E33" s="3" t="s">
        <v>458</v>
      </c>
      <c r="F33" s="3" t="s">
        <v>459</v>
      </c>
      <c r="G33" s="3" t="s">
        <v>75</v>
      </c>
      <c r="H33" s="3" t="s">
        <v>33</v>
      </c>
      <c r="I33" s="3" t="s">
        <v>94</v>
      </c>
      <c r="J33" s="3" t="s">
        <v>49</v>
      </c>
      <c r="K33" s="3" t="s">
        <v>460</v>
      </c>
      <c r="L33" s="3" t="s">
        <v>179</v>
      </c>
      <c r="M33" s="3"/>
      <c r="N33" s="7"/>
    </row>
    <row r="34" spans="1:14">
      <c r="A34" s="14" t="s">
        <v>91</v>
      </c>
      <c r="B34" s="15" t="s">
        <v>461</v>
      </c>
      <c r="C34" s="3" t="s">
        <v>69</v>
      </c>
      <c r="D34" s="3" t="s">
        <v>49</v>
      </c>
      <c r="E34" s="15" t="s">
        <v>462</v>
      </c>
      <c r="F34" s="15"/>
      <c r="G34" s="15"/>
      <c r="H34" s="15"/>
      <c r="I34" s="15"/>
      <c r="J34" s="15"/>
      <c r="K34" s="15"/>
      <c r="L34" s="3" t="s">
        <v>179</v>
      </c>
      <c r="M34" s="15"/>
      <c r="N34" s="8"/>
    </row>
    <row r="35" spans="1:14">
      <c r="A35" s="14" t="s">
        <v>91</v>
      </c>
      <c r="B35" s="15" t="s">
        <v>463</v>
      </c>
      <c r="C35" s="3" t="s">
        <v>69</v>
      </c>
      <c r="D35" s="3" t="s">
        <v>49</v>
      </c>
      <c r="E35" s="15" t="s">
        <v>464</v>
      </c>
      <c r="F35" s="15"/>
      <c r="G35" s="15"/>
      <c r="H35" s="15"/>
      <c r="I35" s="15"/>
      <c r="J35" s="15"/>
      <c r="K35" s="15"/>
      <c r="L35" s="3" t="s">
        <v>179</v>
      </c>
      <c r="M35" s="15"/>
      <c r="N35" s="8"/>
    </row>
  </sheetData>
  <mergeCells count="57">
    <mergeCell ref="C21:C22"/>
    <mergeCell ref="D21:D22"/>
    <mergeCell ref="J22:L22"/>
    <mergeCell ref="G16:I16"/>
    <mergeCell ref="B6:E6"/>
    <mergeCell ref="A1:E1"/>
    <mergeCell ref="B2:E2"/>
    <mergeCell ref="B3:E3"/>
    <mergeCell ref="B4:E4"/>
    <mergeCell ref="B5:E5"/>
    <mergeCell ref="B11:D11"/>
    <mergeCell ref="B10:D10"/>
    <mergeCell ref="M21:N21"/>
    <mergeCell ref="A7:E7"/>
    <mergeCell ref="B8:D8"/>
    <mergeCell ref="B9:D9"/>
    <mergeCell ref="A12:N12"/>
    <mergeCell ref="A13:A14"/>
    <mergeCell ref="B13:B14"/>
    <mergeCell ref="C13:D13"/>
    <mergeCell ref="E13:E14"/>
    <mergeCell ref="F13:F14"/>
    <mergeCell ref="G13:I14"/>
    <mergeCell ref="J13:N14"/>
    <mergeCell ref="G15:I15"/>
    <mergeCell ref="J15:N15"/>
    <mergeCell ref="J16:N16"/>
    <mergeCell ref="E24:E25"/>
    <mergeCell ref="A17:N17"/>
    <mergeCell ref="A18:A19"/>
    <mergeCell ref="B18:B19"/>
    <mergeCell ref="C18:C19"/>
    <mergeCell ref="D18:D19"/>
    <mergeCell ref="E18:L18"/>
    <mergeCell ref="M18:N19"/>
    <mergeCell ref="J19:L19"/>
    <mergeCell ref="J20:L20"/>
    <mergeCell ref="M20:N20"/>
    <mergeCell ref="J21:L21"/>
    <mergeCell ref="D24:D25"/>
    <mergeCell ref="A23:N23"/>
    <mergeCell ref="B21:B22"/>
    <mergeCell ref="L31:M31"/>
    <mergeCell ref="N31:N32"/>
    <mergeCell ref="F24:K24"/>
    <mergeCell ref="L24:M24"/>
    <mergeCell ref="N24:N25"/>
    <mergeCell ref="A30:N30"/>
    <mergeCell ref="A31:A32"/>
    <mergeCell ref="B31:B32"/>
    <mergeCell ref="C31:C32"/>
    <mergeCell ref="D31:D32"/>
    <mergeCell ref="E31:E32"/>
    <mergeCell ref="F31:K31"/>
    <mergeCell ref="A24:A25"/>
    <mergeCell ref="B24:B25"/>
    <mergeCell ref="C24:C25"/>
  </mergeCells>
  <hyperlinks>
    <hyperlink ref="A1:E1" location="Clases!A1" display="&lt;-Volver al inicio" xr:uid="{FCA89A6D-B635-4EE1-B4E2-C55469DFE5F1}"/>
    <hyperlink ref="E10" location="'ProduccionDetalle'!B2" display="ProduccionDetalle" xr:uid="{68BCC615-2E49-4A9F-A75D-5BF4E6D363EA}"/>
    <hyperlink ref="E9" location="'DetalleAbastecimiento'!B2" display="DetalleAbastecimiento" xr:uid="{2AE0DA1D-2DD9-4808-BEDC-3092F48CDE06}"/>
    <hyperlink ref="E11" location="'Insumo'!B2" display="Insumo" xr:uid="{A96BEB92-2D3E-4B1A-9B7A-4E1EAF7E8599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910BBAAB-5647-48CD-AD1F-AEC13EDAFFC5}">
          <x14:formula1>
            <xm:f>Valores!$D$2:$D$3</xm:f>
          </x14:formula1>
          <xm:sqref>B5</xm:sqref>
        </x14:dataValidation>
        <x14:dataValidation type="list" allowBlank="1" showInputMessage="1" showErrorMessage="1" xr:uid="{541A3105-B354-49A7-BFB2-5DCDEF147606}">
          <x14:formula1>
            <xm:f>Valores!$E$2:$E$3</xm:f>
          </x14:formula1>
          <xm:sqref>B6 E15:E16 D26:D29 J26:J29 I20:I22 J33:J35 D33:D35</xm:sqref>
        </x14:dataValidation>
        <x14:dataValidation type="list" allowBlank="1" showInputMessage="1" showErrorMessage="1" xr:uid="{381C513F-8F61-4A41-902C-3045A94DE584}">
          <x14:formula1>
            <xm:f>Valores!$F$2:$F$5</xm:f>
          </x14:formula1>
          <xm:sqref>A15:A16 A20:A22 A26:A29 A33:A35</xm:sqref>
        </x14:dataValidation>
        <x14:dataValidation type="list" allowBlank="1" showInputMessage="1" showErrorMessage="1" xr:uid="{9CE75CE2-B2E1-4AF9-8897-9BC805C5303F}">
          <x14:formula1>
            <xm:f>Valores!$G$2:$G$12</xm:f>
          </x14:formula1>
          <xm:sqref>C15:C16 F20:F22 L26:L29 G26:G29 G33:G35</xm:sqref>
        </x14:dataValidation>
        <x14:dataValidation type="list" allowBlank="1" showInputMessage="1" showErrorMessage="1" xr:uid="{DB97E8D7-17FA-4E84-80CE-4BDB135489FD}">
          <x14:formula1>
            <xm:f>Valores!$H$2:$H$3</xm:f>
          </x14:formula1>
          <xm:sqref>F15:F16 C33:C35</xm:sqref>
        </x14:dataValidation>
        <x14:dataValidation type="list" allowBlank="1" showInputMessage="1" showErrorMessage="1" xr:uid="{9D66207E-E4A8-46FC-B350-0ADC4D0889AB}">
          <x14:formula1>
            <xm:f>Valores!$I$2:$I$3</xm:f>
          </x14:formula1>
          <xm:sqref>C20:C21</xm:sqref>
        </x14:dataValidation>
        <x14:dataValidation type="list" allowBlank="1" showInputMessage="1" showErrorMessage="1" xr:uid="{61FD5D04-4EEF-4D38-B366-69A1B72BA5E9}">
          <x14:formula1>
            <xm:f>Valores!$J$2:$J$3</xm:f>
          </x14:formula1>
          <xm:sqref>I26:I29 H20:H22 I33:I35</xm:sqref>
        </x14:dataValidation>
        <x14:dataValidation type="list" allowBlank="1" showInputMessage="1" showErrorMessage="1" xr:uid="{4E2FB4BB-F38B-469B-8EAB-F601C29DDFDA}">
          <x14:formula1>
            <xm:f>Valores!$K$2:$K$3</xm:f>
          </x14:formula1>
          <xm:sqref>C26:C29</xm:sqref>
        </x14:dataValidation>
        <x14:dataValidation type="list" allowBlank="1" showInputMessage="1" showErrorMessage="1" xr:uid="{D2BE9020-E25E-4D77-AE9A-C96E0457A0A3}">
          <x14:formula1>
            <xm:f>Valores!$L$2:$L$13</xm:f>
          </x14:formula1>
          <xm:sqref>L33:L35</xm:sqref>
        </x14:dataValidation>
        <x14:dataValidation type="list" allowBlank="1" showInputMessage="1" showErrorMessage="1" xr:uid="{6DA2FB3E-9D72-402A-BD3C-AF0D171A01C5}">
          <x14:formula1>
            <xm:f>Valores!$B$2:$B$3</xm:f>
          </x14:formula1>
          <xm:sqref>A9:A11</xm:sqref>
        </x14:dataValidation>
        <x14:dataValidation type="list" allowBlank="1" showInputMessage="1" showErrorMessage="1" xr:uid="{28E55D67-5B09-425E-880C-48801BBBB76D}">
          <x14:formula1>
            <xm:f>Valores!$C$2:$C$7</xm:f>
          </x14:formula1>
          <xm:sqref>B9:B11</xm:sqref>
        </x14:dataValidation>
        <x14:dataValidation type="list" allowBlank="1" showInputMessage="1" showErrorMessage="1" xr:uid="{0BBCB67F-A311-4920-8B32-371506624893}">
          <x14:formula1>
            <xm:f>Clases!$A$2:$A$21</xm:f>
          </x14:formula1>
          <xm:sqref>E9:E11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31CEB-3E00-41C3-83F4-EA3473C11539}">
  <dimension ref="A1:N37"/>
  <sheetViews>
    <sheetView zoomScale="55" zoomScaleNormal="55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8.7109375" style="1" customWidth="1"/>
    <col min="2" max="2" width="26.42578125" style="1" customWidth="1"/>
    <col min="3" max="3" width="27.140625" style="1" bestFit="1" customWidth="1"/>
    <col min="4" max="4" width="85.7109375" style="1" customWidth="1"/>
    <col min="5" max="5" width="81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72.14062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Clases!A16</f>
        <v>ProduccionDetalle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Clases!B16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Clases!C16</f>
        <v>Clase que representa el detalle de una producción, conteniendo información específica sobre los productos fabricados y sus cantidades.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54</v>
      </c>
      <c r="B9" s="70" t="s">
        <v>185</v>
      </c>
      <c r="C9" s="70"/>
      <c r="D9" s="70"/>
      <c r="E9" s="35" t="s">
        <v>31</v>
      </c>
    </row>
    <row r="10" spans="1:14">
      <c r="A10" s="32" t="s">
        <v>56</v>
      </c>
      <c r="B10" s="70" t="s">
        <v>55</v>
      </c>
      <c r="C10" s="70"/>
      <c r="D10" s="70"/>
      <c r="E10" s="37" t="s">
        <v>4</v>
      </c>
    </row>
    <row r="11" spans="1:14">
      <c r="A11" s="66" t="s">
        <v>57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</row>
    <row r="12" spans="1:14">
      <c r="A12" s="73" t="s">
        <v>58</v>
      </c>
      <c r="B12" s="71" t="s">
        <v>59</v>
      </c>
      <c r="C12" s="71" t="s">
        <v>60</v>
      </c>
      <c r="D12" s="71"/>
      <c r="E12" s="71" t="s">
        <v>61</v>
      </c>
      <c r="F12" s="71" t="s">
        <v>62</v>
      </c>
      <c r="G12" s="71" t="s">
        <v>63</v>
      </c>
      <c r="H12" s="71"/>
      <c r="I12" s="71"/>
      <c r="J12" s="71" t="s">
        <v>64</v>
      </c>
      <c r="K12" s="71"/>
      <c r="L12" s="71"/>
      <c r="M12" s="71"/>
      <c r="N12" s="72"/>
    </row>
    <row r="13" spans="1:14">
      <c r="A13" s="73"/>
      <c r="B13" s="71"/>
      <c r="C13" s="10" t="s">
        <v>60</v>
      </c>
      <c r="D13" s="10" t="s">
        <v>65</v>
      </c>
      <c r="E13" s="71"/>
      <c r="F13" s="71"/>
      <c r="G13" s="71"/>
      <c r="H13" s="71"/>
      <c r="I13" s="71"/>
      <c r="J13" s="71"/>
      <c r="K13" s="71"/>
      <c r="L13" s="71"/>
      <c r="M13" s="71"/>
      <c r="N13" s="72"/>
    </row>
    <row r="14" spans="1:14">
      <c r="A14" s="6" t="s">
        <v>66</v>
      </c>
      <c r="B14" s="3" t="s">
        <v>465</v>
      </c>
      <c r="C14" s="3" t="s">
        <v>68</v>
      </c>
      <c r="D14" s="3"/>
      <c r="E14" s="3" t="s">
        <v>49</v>
      </c>
      <c r="F14" s="3" t="s">
        <v>69</v>
      </c>
      <c r="G14" s="64"/>
      <c r="H14" s="64"/>
      <c r="I14" s="64"/>
      <c r="J14" s="64" t="s">
        <v>466</v>
      </c>
      <c r="K14" s="64"/>
      <c r="L14" s="64"/>
      <c r="M14" s="64"/>
      <c r="N14" s="65"/>
    </row>
    <row r="15" spans="1:14">
      <c r="A15" s="6" t="s">
        <v>66</v>
      </c>
      <c r="B15" s="3" t="s">
        <v>467</v>
      </c>
      <c r="C15" s="3" t="s">
        <v>75</v>
      </c>
      <c r="D15" s="3" t="s">
        <v>76</v>
      </c>
      <c r="E15" s="3" t="s">
        <v>49</v>
      </c>
      <c r="F15" s="3" t="s">
        <v>69</v>
      </c>
      <c r="G15" s="64"/>
      <c r="H15" s="64"/>
      <c r="I15" s="64"/>
      <c r="J15" s="64" t="s">
        <v>468</v>
      </c>
      <c r="K15" s="64"/>
      <c r="L15" s="64"/>
      <c r="M15" s="64"/>
      <c r="N15" s="65"/>
    </row>
    <row r="16" spans="1:14">
      <c r="A16" s="6" t="s">
        <v>66</v>
      </c>
      <c r="B16" s="3" t="s">
        <v>469</v>
      </c>
      <c r="C16" s="3" t="s">
        <v>75</v>
      </c>
      <c r="D16" s="3" t="s">
        <v>76</v>
      </c>
      <c r="E16" s="3" t="s">
        <v>49</v>
      </c>
      <c r="F16" s="3" t="s">
        <v>69</v>
      </c>
      <c r="G16" s="64"/>
      <c r="H16" s="64"/>
      <c r="I16" s="64"/>
      <c r="J16" s="64" t="s">
        <v>470</v>
      </c>
      <c r="K16" s="64"/>
      <c r="L16" s="64"/>
      <c r="M16" s="64"/>
      <c r="N16" s="65"/>
    </row>
    <row r="17" spans="1:14">
      <c r="A17" s="81" t="s">
        <v>85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3"/>
    </row>
    <row r="18" spans="1:14">
      <c r="A18" s="84" t="s">
        <v>58</v>
      </c>
      <c r="B18" s="79" t="s">
        <v>59</v>
      </c>
      <c r="C18" s="79" t="s">
        <v>86</v>
      </c>
      <c r="D18" s="79" t="s">
        <v>87</v>
      </c>
      <c r="E18" s="79" t="s">
        <v>88</v>
      </c>
      <c r="F18" s="79"/>
      <c r="G18" s="79"/>
      <c r="H18" s="79"/>
      <c r="I18" s="79"/>
      <c r="J18" s="79"/>
      <c r="K18" s="79"/>
      <c r="L18" s="79"/>
      <c r="M18" s="79" t="s">
        <v>89</v>
      </c>
      <c r="N18" s="80"/>
    </row>
    <row r="19" spans="1:14">
      <c r="A19" s="84"/>
      <c r="B19" s="79"/>
      <c r="C19" s="79"/>
      <c r="D19" s="79"/>
      <c r="E19" s="11" t="s">
        <v>59</v>
      </c>
      <c r="F19" s="11" t="s">
        <v>60</v>
      </c>
      <c r="G19" s="11" t="s">
        <v>65</v>
      </c>
      <c r="H19" s="11" t="s">
        <v>90</v>
      </c>
      <c r="I19" s="11" t="s">
        <v>61</v>
      </c>
      <c r="J19" s="79" t="s">
        <v>87</v>
      </c>
      <c r="K19" s="79"/>
      <c r="L19" s="79"/>
      <c r="M19" s="79"/>
      <c r="N19" s="80"/>
    </row>
    <row r="20" spans="1:14">
      <c r="A20" s="6" t="s">
        <v>91</v>
      </c>
      <c r="B20" s="3" t="str">
        <f>B2</f>
        <v>ProduccionDetalle</v>
      </c>
      <c r="C20" s="3" t="s">
        <v>92</v>
      </c>
      <c r="D20" s="3" t="s">
        <v>471</v>
      </c>
      <c r="E20" s="3"/>
      <c r="F20" s="3"/>
      <c r="G20" s="3"/>
      <c r="H20" s="3"/>
      <c r="I20" s="3"/>
      <c r="J20" s="45"/>
      <c r="K20" s="48"/>
      <c r="L20" s="49"/>
      <c r="M20" s="45"/>
      <c r="N20" s="46"/>
    </row>
    <row r="21" spans="1:14">
      <c r="A21" s="6" t="s">
        <v>91</v>
      </c>
      <c r="B21" s="43" t="str">
        <f>B2</f>
        <v>ProduccionDetalle</v>
      </c>
      <c r="C21" s="43" t="s">
        <v>97</v>
      </c>
      <c r="D21" s="43" t="s">
        <v>472</v>
      </c>
      <c r="E21" s="3" t="s">
        <v>465</v>
      </c>
      <c r="F21" s="3" t="s">
        <v>68</v>
      </c>
      <c r="G21" s="3"/>
      <c r="H21" s="3" t="s">
        <v>94</v>
      </c>
      <c r="I21" s="3" t="s">
        <v>49</v>
      </c>
      <c r="J21" s="45" t="s">
        <v>473</v>
      </c>
      <c r="K21" s="48"/>
      <c r="L21" s="49"/>
      <c r="M21" s="45"/>
      <c r="N21" s="46"/>
    </row>
    <row r="22" spans="1:14">
      <c r="A22" s="6" t="s">
        <v>91</v>
      </c>
      <c r="B22" s="85"/>
      <c r="C22" s="85"/>
      <c r="D22" s="85"/>
      <c r="E22" s="3" t="s">
        <v>467</v>
      </c>
      <c r="F22" s="3" t="s">
        <v>75</v>
      </c>
      <c r="G22" s="3" t="s">
        <v>76</v>
      </c>
      <c r="H22" s="3" t="s">
        <v>94</v>
      </c>
      <c r="I22" s="3" t="s">
        <v>49</v>
      </c>
      <c r="J22" s="45" t="s">
        <v>474</v>
      </c>
      <c r="K22" s="48"/>
      <c r="L22" s="49"/>
      <c r="M22" s="28"/>
      <c r="N22" s="31"/>
    </row>
    <row r="23" spans="1:14">
      <c r="A23" s="6" t="s">
        <v>91</v>
      </c>
      <c r="B23" s="44"/>
      <c r="C23" s="44"/>
      <c r="D23" s="44"/>
      <c r="E23" s="3" t="s">
        <v>469</v>
      </c>
      <c r="F23" s="3" t="s">
        <v>75</v>
      </c>
      <c r="G23" s="3" t="s">
        <v>76</v>
      </c>
      <c r="H23" s="3" t="s">
        <v>94</v>
      </c>
      <c r="I23" s="3" t="s">
        <v>49</v>
      </c>
      <c r="J23" s="116" t="s">
        <v>475</v>
      </c>
      <c r="K23" s="117"/>
      <c r="L23" s="118"/>
      <c r="M23" s="28"/>
      <c r="N23" s="31"/>
    </row>
    <row r="24" spans="1:14">
      <c r="A24" s="58" t="s">
        <v>101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60"/>
    </row>
    <row r="25" spans="1:14">
      <c r="A25" s="63" t="s">
        <v>58</v>
      </c>
      <c r="B25" s="47" t="s">
        <v>59</v>
      </c>
      <c r="C25" s="47" t="s">
        <v>102</v>
      </c>
      <c r="D25" s="47" t="s">
        <v>103</v>
      </c>
      <c r="E25" s="47" t="s">
        <v>87</v>
      </c>
      <c r="F25" s="47" t="s">
        <v>88</v>
      </c>
      <c r="G25" s="47"/>
      <c r="H25" s="47"/>
      <c r="I25" s="47"/>
      <c r="J25" s="47"/>
      <c r="K25" s="47"/>
      <c r="L25" s="47" t="s">
        <v>104</v>
      </c>
      <c r="M25" s="47"/>
      <c r="N25" s="61" t="s">
        <v>89</v>
      </c>
    </row>
    <row r="26" spans="1:14">
      <c r="A26" s="63"/>
      <c r="B26" s="47"/>
      <c r="C26" s="47"/>
      <c r="D26" s="47"/>
      <c r="E26" s="47"/>
      <c r="F26" s="12" t="s">
        <v>59</v>
      </c>
      <c r="G26" s="12" t="s">
        <v>60</v>
      </c>
      <c r="H26" s="12" t="s">
        <v>65</v>
      </c>
      <c r="I26" s="12" t="s">
        <v>90</v>
      </c>
      <c r="J26" s="12" t="s">
        <v>61</v>
      </c>
      <c r="K26" s="12" t="s">
        <v>87</v>
      </c>
      <c r="L26" s="12" t="s">
        <v>60</v>
      </c>
      <c r="M26" s="12" t="s">
        <v>65</v>
      </c>
      <c r="N26" s="61"/>
    </row>
    <row r="27" spans="1:14">
      <c r="A27" s="6" t="s">
        <v>91</v>
      </c>
      <c r="B27" s="3" t="s">
        <v>476</v>
      </c>
      <c r="C27" s="3" t="s">
        <v>106</v>
      </c>
      <c r="D27" s="3" t="s">
        <v>49</v>
      </c>
      <c r="E27" s="3" t="s">
        <v>477</v>
      </c>
      <c r="F27" s="3"/>
      <c r="G27" s="3"/>
      <c r="H27" s="3"/>
      <c r="I27" s="3"/>
      <c r="J27" s="3"/>
      <c r="K27" s="3"/>
      <c r="L27" s="3" t="s">
        <v>68</v>
      </c>
      <c r="M27" s="3"/>
      <c r="N27" s="7"/>
    </row>
    <row r="28" spans="1:14">
      <c r="A28" s="6" t="s">
        <v>91</v>
      </c>
      <c r="B28" s="3" t="s">
        <v>478</v>
      </c>
      <c r="C28" s="3" t="s">
        <v>112</v>
      </c>
      <c r="D28" s="3" t="s">
        <v>49</v>
      </c>
      <c r="E28" s="3" t="s">
        <v>479</v>
      </c>
      <c r="F28" s="3" t="s">
        <v>465</v>
      </c>
      <c r="G28" s="3" t="s">
        <v>68</v>
      </c>
      <c r="H28" s="3"/>
      <c r="I28" s="3" t="s">
        <v>94</v>
      </c>
      <c r="J28" s="3" t="s">
        <v>49</v>
      </c>
      <c r="K28" s="3" t="s">
        <v>480</v>
      </c>
      <c r="L28" s="3"/>
      <c r="M28" s="3"/>
      <c r="N28" s="7"/>
    </row>
    <row r="29" spans="1:14">
      <c r="A29" s="6" t="s">
        <v>91</v>
      </c>
      <c r="B29" s="3" t="s">
        <v>481</v>
      </c>
      <c r="C29" s="3" t="s">
        <v>106</v>
      </c>
      <c r="D29" s="3" t="s">
        <v>49</v>
      </c>
      <c r="E29" s="3" t="s">
        <v>482</v>
      </c>
      <c r="F29" s="3"/>
      <c r="G29" s="3"/>
      <c r="H29" s="3"/>
      <c r="I29" s="3"/>
      <c r="J29" s="3"/>
      <c r="K29" s="3"/>
      <c r="L29" s="3" t="s">
        <v>75</v>
      </c>
      <c r="M29" s="3" t="s">
        <v>76</v>
      </c>
      <c r="N29" s="7"/>
    </row>
    <row r="30" spans="1:14">
      <c r="A30" s="6" t="s">
        <v>91</v>
      </c>
      <c r="B30" s="3" t="s">
        <v>483</v>
      </c>
      <c r="C30" s="3" t="s">
        <v>112</v>
      </c>
      <c r="D30" s="3" t="s">
        <v>49</v>
      </c>
      <c r="E30" s="3" t="s">
        <v>484</v>
      </c>
      <c r="F30" s="3" t="s">
        <v>467</v>
      </c>
      <c r="G30" s="3" t="s">
        <v>75</v>
      </c>
      <c r="H30" s="3"/>
      <c r="I30" s="3" t="s">
        <v>94</v>
      </c>
      <c r="J30" s="3" t="s">
        <v>49</v>
      </c>
      <c r="K30" s="3" t="s">
        <v>485</v>
      </c>
      <c r="L30" s="3"/>
      <c r="M30" s="3"/>
      <c r="N30" s="7"/>
    </row>
    <row r="31" spans="1:14">
      <c r="A31" s="6" t="s">
        <v>91</v>
      </c>
      <c r="B31" s="3" t="s">
        <v>486</v>
      </c>
      <c r="C31" s="3" t="s">
        <v>106</v>
      </c>
      <c r="D31" s="3" t="s">
        <v>49</v>
      </c>
      <c r="E31" s="3" t="s">
        <v>487</v>
      </c>
      <c r="F31" s="3"/>
      <c r="G31" s="3"/>
      <c r="H31" s="3"/>
      <c r="I31" s="3"/>
      <c r="J31" s="3"/>
      <c r="K31" s="3"/>
      <c r="L31" s="3" t="s">
        <v>75</v>
      </c>
      <c r="M31" s="3" t="s">
        <v>76</v>
      </c>
      <c r="N31" s="7"/>
    </row>
    <row r="32" spans="1:14">
      <c r="A32" s="6" t="s">
        <v>91</v>
      </c>
      <c r="B32" t="s">
        <v>488</v>
      </c>
      <c r="C32" s="3" t="s">
        <v>112</v>
      </c>
      <c r="D32" s="3" t="s">
        <v>49</v>
      </c>
      <c r="E32" s="3" t="s">
        <v>489</v>
      </c>
      <c r="F32" t="s">
        <v>469</v>
      </c>
      <c r="G32" s="3" t="s">
        <v>110</v>
      </c>
      <c r="H32" s="3"/>
      <c r="I32" s="3" t="s">
        <v>94</v>
      </c>
      <c r="J32" s="3" t="s">
        <v>49</v>
      </c>
      <c r="K32" s="3" t="s">
        <v>490</v>
      </c>
      <c r="L32" s="3"/>
      <c r="M32" s="3"/>
      <c r="N32" s="7"/>
    </row>
    <row r="33" spans="1:14">
      <c r="A33" s="54" t="s">
        <v>118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6"/>
    </row>
    <row r="34" spans="1:14">
      <c r="A34" s="62" t="s">
        <v>58</v>
      </c>
      <c r="B34" s="53" t="s">
        <v>59</v>
      </c>
      <c r="C34" s="53" t="s">
        <v>119</v>
      </c>
      <c r="D34" s="53" t="s">
        <v>103</v>
      </c>
      <c r="E34" s="53" t="s">
        <v>87</v>
      </c>
      <c r="F34" s="53" t="s">
        <v>88</v>
      </c>
      <c r="G34" s="53"/>
      <c r="H34" s="53"/>
      <c r="I34" s="53"/>
      <c r="J34" s="53"/>
      <c r="K34" s="53"/>
      <c r="L34" s="53" t="s">
        <v>104</v>
      </c>
      <c r="M34" s="53"/>
      <c r="N34" s="57" t="s">
        <v>89</v>
      </c>
    </row>
    <row r="35" spans="1:14">
      <c r="A35" s="62"/>
      <c r="B35" s="53"/>
      <c r="C35" s="53"/>
      <c r="D35" s="53"/>
      <c r="E35" s="53"/>
      <c r="F35" s="13" t="s">
        <v>59</v>
      </c>
      <c r="G35" s="13" t="s">
        <v>60</v>
      </c>
      <c r="H35" s="13" t="s">
        <v>65</v>
      </c>
      <c r="I35" s="13" t="s">
        <v>90</v>
      </c>
      <c r="J35" s="13" t="s">
        <v>61</v>
      </c>
      <c r="K35" s="13" t="s">
        <v>87</v>
      </c>
      <c r="L35" s="13" t="s">
        <v>60</v>
      </c>
      <c r="M35" s="13" t="s">
        <v>65</v>
      </c>
      <c r="N35" s="57"/>
    </row>
    <row r="36" spans="1:14">
      <c r="A36" s="6" t="s">
        <v>91</v>
      </c>
      <c r="B36" s="3" t="s">
        <v>491</v>
      </c>
      <c r="C36" s="3" t="s">
        <v>69</v>
      </c>
      <c r="D36" s="3" t="s">
        <v>49</v>
      </c>
      <c r="E36" s="3" t="s">
        <v>492</v>
      </c>
      <c r="F36" s="3"/>
      <c r="G36" s="3"/>
      <c r="H36" s="3"/>
      <c r="I36" s="3"/>
      <c r="J36" s="3"/>
      <c r="K36" s="3"/>
      <c r="L36" s="3" t="s">
        <v>75</v>
      </c>
      <c r="M36" s="3" t="s">
        <v>76</v>
      </c>
      <c r="N36" s="7"/>
    </row>
    <row r="37" spans="1:14">
      <c r="A37" s="14" t="s">
        <v>91</v>
      </c>
      <c r="B37" s="15" t="s">
        <v>493</v>
      </c>
      <c r="C37" s="15" t="s">
        <v>69</v>
      </c>
      <c r="D37" s="15" t="s">
        <v>49</v>
      </c>
      <c r="E37" s="15" t="s">
        <v>494</v>
      </c>
      <c r="F37" s="15" t="s">
        <v>379</v>
      </c>
      <c r="G37" s="15" t="s">
        <v>75</v>
      </c>
      <c r="H37" s="15" t="s">
        <v>76</v>
      </c>
      <c r="I37" s="15" t="s">
        <v>94</v>
      </c>
      <c r="J37" s="15" t="s">
        <v>49</v>
      </c>
      <c r="K37" s="15" t="s">
        <v>495</v>
      </c>
      <c r="L37" s="15" t="s">
        <v>72</v>
      </c>
      <c r="M37" s="15"/>
      <c r="N37" s="8" t="s">
        <v>349</v>
      </c>
    </row>
  </sheetData>
  <mergeCells count="59">
    <mergeCell ref="B10:D10"/>
    <mergeCell ref="B21:B23"/>
    <mergeCell ref="C21:C23"/>
    <mergeCell ref="D21:D23"/>
    <mergeCell ref="J22:L22"/>
    <mergeCell ref="J23:L23"/>
    <mergeCell ref="B6:E6"/>
    <mergeCell ref="A1:E1"/>
    <mergeCell ref="B2:E2"/>
    <mergeCell ref="B3:E3"/>
    <mergeCell ref="B4:E4"/>
    <mergeCell ref="B5:E5"/>
    <mergeCell ref="G16:I16"/>
    <mergeCell ref="J16:N16"/>
    <mergeCell ref="A7:E7"/>
    <mergeCell ref="B8:D8"/>
    <mergeCell ref="B9:D9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G15:I15"/>
    <mergeCell ref="J15:N15"/>
    <mergeCell ref="E25:E26"/>
    <mergeCell ref="A17:N17"/>
    <mergeCell ref="A18:A19"/>
    <mergeCell ref="B18:B19"/>
    <mergeCell ref="C18:C19"/>
    <mergeCell ref="D18:D19"/>
    <mergeCell ref="E18:L18"/>
    <mergeCell ref="M18:N19"/>
    <mergeCell ref="J19:L19"/>
    <mergeCell ref="J20:L20"/>
    <mergeCell ref="M20:N20"/>
    <mergeCell ref="J21:L21"/>
    <mergeCell ref="D25:D26"/>
    <mergeCell ref="A24:N24"/>
    <mergeCell ref="M21:N21"/>
    <mergeCell ref="L34:M34"/>
    <mergeCell ref="N34:N35"/>
    <mergeCell ref="F25:K25"/>
    <mergeCell ref="L25:M25"/>
    <mergeCell ref="N25:N26"/>
    <mergeCell ref="A33:N33"/>
    <mergeCell ref="A34:A35"/>
    <mergeCell ref="B34:B35"/>
    <mergeCell ref="C34:C35"/>
    <mergeCell ref="D34:D35"/>
    <mergeCell ref="E34:E35"/>
    <mergeCell ref="F34:K34"/>
    <mergeCell ref="A25:A26"/>
    <mergeCell ref="B25:B26"/>
    <mergeCell ref="C25:C26"/>
  </mergeCells>
  <hyperlinks>
    <hyperlink ref="A1:E1" location="Clases!A1" display="&lt;-Volver al inicio" xr:uid="{7E9F0912-376C-4DAD-8F46-F048107599BF}"/>
    <hyperlink ref="E9" location="'Produccion'!B2" display="Produccion" xr:uid="{A989AE25-B409-4061-AC74-F2C19B5988E8}"/>
    <hyperlink ref="E10" location="'Producto'!B2" display="Producto" xr:uid="{6C89B8B3-295B-4A34-BA3C-CA8C75A532B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 xr:uid="{2596A509-FD3C-4F13-88B7-53588CFFD805}">
          <x14:formula1>
            <xm:f>Clases!$A$2:$A$13</xm:f>
          </x14:formula1>
          <xm:sqref>E10</xm:sqref>
        </x14:dataValidation>
        <x14:dataValidation type="list" allowBlank="1" showInputMessage="1" showErrorMessage="1" xr:uid="{6929F59B-563A-4A8C-A29E-860386CAC2B4}">
          <x14:formula1>
            <xm:f>Valores!$C$2:$C$7</xm:f>
          </x14:formula1>
          <xm:sqref>B9:B10</xm:sqref>
        </x14:dataValidation>
        <x14:dataValidation type="list" allowBlank="1" showInputMessage="1" showErrorMessage="1" xr:uid="{05171DC3-3F89-431B-B07D-F60D85129191}">
          <x14:formula1>
            <xm:f>Valores!$B$2:$B$3</xm:f>
          </x14:formula1>
          <xm:sqref>A9:A10</xm:sqref>
        </x14:dataValidation>
        <x14:dataValidation type="list" allowBlank="1" showInputMessage="1" showErrorMessage="1" xr:uid="{9D4F01A7-2B77-4147-B0FF-C9ACC5B1DC14}">
          <x14:formula1>
            <xm:f>Valores!$L$2:$L$13</xm:f>
          </x14:formula1>
          <xm:sqref>L36</xm:sqref>
        </x14:dataValidation>
        <x14:dataValidation type="list" allowBlank="1" showInputMessage="1" showErrorMessage="1" xr:uid="{4E42FC10-2844-42DB-AF6E-FF8CFF941D80}">
          <x14:formula1>
            <xm:f>Valores!$K$2:$K$3</xm:f>
          </x14:formula1>
          <xm:sqref>C27:C32</xm:sqref>
        </x14:dataValidation>
        <x14:dataValidation type="list" allowBlank="1" showInputMessage="1" showErrorMessage="1" xr:uid="{7730AB67-2DF4-4D39-A29B-06B3015567BF}">
          <x14:formula1>
            <xm:f>Valores!$J$2:$J$3</xm:f>
          </x14:formula1>
          <xm:sqref>I36:I37 H20:H23 I27:I32</xm:sqref>
        </x14:dataValidation>
        <x14:dataValidation type="list" allowBlank="1" showInputMessage="1" showErrorMessage="1" xr:uid="{F9C97AEF-232B-425C-BA2C-BEDE94A5B557}">
          <x14:formula1>
            <xm:f>Valores!$I$2:$I$3</xm:f>
          </x14:formula1>
          <xm:sqref>C20:C21</xm:sqref>
        </x14:dataValidation>
        <x14:dataValidation type="list" allowBlank="1" showInputMessage="1" showErrorMessage="1" xr:uid="{FB2E6878-7617-4890-AECC-C6E071BB3275}">
          <x14:formula1>
            <xm:f>Valores!$H$2:$H$3</xm:f>
          </x14:formula1>
          <xm:sqref>F14:F16 C36:C37</xm:sqref>
        </x14:dataValidation>
        <x14:dataValidation type="list" allowBlank="1" showInputMessage="1" showErrorMessage="1" xr:uid="{399E04C9-F388-4B74-934E-B29B14A0D661}">
          <x14:formula1>
            <xm:f>Valores!$G$2:$G$12</xm:f>
          </x14:formula1>
          <xm:sqref>C14:C16 F20:F23 L37 G36:G37 G27:G32 L27:L32</xm:sqref>
        </x14:dataValidation>
        <x14:dataValidation type="list" allowBlank="1" showInputMessage="1" showErrorMessage="1" xr:uid="{A70B3550-0D4A-4EA2-BC2F-74FCF0984C8B}">
          <x14:formula1>
            <xm:f>Valores!$F$2:$F$5</xm:f>
          </x14:formula1>
          <xm:sqref>A14:A16 A20:A23 A36:A37 A27:A32</xm:sqref>
        </x14:dataValidation>
        <x14:dataValidation type="list" allowBlank="1" showInputMessage="1" showErrorMessage="1" xr:uid="{C7CFF76B-B309-476D-95B8-F9726A093240}">
          <x14:formula1>
            <xm:f>Valores!$E$2:$E$3</xm:f>
          </x14:formula1>
          <xm:sqref>B6 E14:E16 D36:D37 J36:J37 I20:I23 J27:J32 D27:D32</xm:sqref>
        </x14:dataValidation>
        <x14:dataValidation type="list" allowBlank="1" showInputMessage="1" showErrorMessage="1" xr:uid="{75BA357F-D209-4045-B447-890CEF9DEDCA}">
          <x14:formula1>
            <xm:f>Valores!$D$2:$D$3</xm:f>
          </x14:formula1>
          <xm:sqref>B5</xm:sqref>
        </x14:dataValidation>
        <x14:dataValidation type="list" allowBlank="1" showInputMessage="1" showErrorMessage="1" xr:uid="{EC0C039F-0733-4A48-8321-E529D0F3BCD3}">
          <x14:formula1>
            <xm:f>Clases!$A$2:$A$21</xm:f>
          </x14:formula1>
          <xm:sqref>E9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01D61-3F06-4AF2-AD5D-EA5AA1F4BC58}">
  <dimension ref="A1:N31"/>
  <sheetViews>
    <sheetView zoomScale="55" zoomScaleNormal="55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8.7109375" style="1" customWidth="1"/>
    <col min="2" max="2" width="16.7109375" style="1" bestFit="1" customWidth="1"/>
    <col min="3" max="3" width="27.140625" style="1" bestFit="1" customWidth="1"/>
    <col min="4" max="4" width="83.1406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9" width="34.140625" style="1" bestFit="1" customWidth="1"/>
    <col min="10" max="11" width="70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Clases!A17</f>
        <v>Insumo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Clases!B17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Clases!C17</f>
        <v>Clase que representa un insumo utilizado en el proceso de producción de bloques, incluyendo información sobre su disponibilidad y características.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56</v>
      </c>
      <c r="B9" s="70" t="s">
        <v>55</v>
      </c>
      <c r="C9" s="70"/>
      <c r="D9" s="70"/>
      <c r="E9" s="35" t="s">
        <v>31</v>
      </c>
    </row>
    <row r="10" spans="1:14">
      <c r="A10" s="9" t="s">
        <v>54</v>
      </c>
      <c r="B10" s="70" t="s">
        <v>55</v>
      </c>
      <c r="C10" s="70"/>
      <c r="D10" s="70"/>
      <c r="E10" s="35" t="s">
        <v>37</v>
      </c>
    </row>
    <row r="11" spans="1:14">
      <c r="A11" s="66" t="s">
        <v>57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</row>
    <row r="12" spans="1:14">
      <c r="A12" s="73" t="s">
        <v>58</v>
      </c>
      <c r="B12" s="71" t="s">
        <v>59</v>
      </c>
      <c r="C12" s="71" t="s">
        <v>60</v>
      </c>
      <c r="D12" s="71"/>
      <c r="E12" s="71" t="s">
        <v>61</v>
      </c>
      <c r="F12" s="71" t="s">
        <v>62</v>
      </c>
      <c r="G12" s="71" t="s">
        <v>63</v>
      </c>
      <c r="H12" s="71"/>
      <c r="I12" s="71"/>
      <c r="J12" s="71" t="s">
        <v>64</v>
      </c>
      <c r="K12" s="71"/>
      <c r="L12" s="71"/>
      <c r="M12" s="71"/>
      <c r="N12" s="72"/>
    </row>
    <row r="13" spans="1:14">
      <c r="A13" s="73"/>
      <c r="B13" s="71"/>
      <c r="C13" s="10" t="s">
        <v>60</v>
      </c>
      <c r="D13" s="10" t="s">
        <v>65</v>
      </c>
      <c r="E13" s="71"/>
      <c r="F13" s="71"/>
      <c r="G13" s="71"/>
      <c r="H13" s="71"/>
      <c r="I13" s="71"/>
      <c r="J13" s="71"/>
      <c r="K13" s="71"/>
      <c r="L13" s="71"/>
      <c r="M13" s="71"/>
      <c r="N13" s="72"/>
    </row>
    <row r="14" spans="1:14">
      <c r="A14" s="6" t="s">
        <v>66</v>
      </c>
      <c r="B14" s="3" t="s">
        <v>496</v>
      </c>
      <c r="C14" s="3" t="s">
        <v>68</v>
      </c>
      <c r="D14" s="3"/>
      <c r="E14" s="3" t="s">
        <v>49</v>
      </c>
      <c r="F14" s="3" t="s">
        <v>69</v>
      </c>
      <c r="G14" s="64"/>
      <c r="H14" s="64"/>
      <c r="I14" s="64"/>
      <c r="J14" s="64" t="s">
        <v>497</v>
      </c>
      <c r="K14" s="64"/>
      <c r="L14" s="64"/>
      <c r="M14" s="64"/>
      <c r="N14" s="65"/>
    </row>
    <row r="15" spans="1:14">
      <c r="A15" s="6" t="s">
        <v>66</v>
      </c>
      <c r="B15" s="3" t="s">
        <v>498</v>
      </c>
      <c r="C15" s="3" t="s">
        <v>195</v>
      </c>
      <c r="D15" s="3"/>
      <c r="E15" s="3" t="s">
        <v>49</v>
      </c>
      <c r="F15" s="3" t="s">
        <v>69</v>
      </c>
      <c r="G15" s="64"/>
      <c r="H15" s="64"/>
      <c r="I15" s="64"/>
      <c r="J15" s="64" t="s">
        <v>499</v>
      </c>
      <c r="K15" s="64"/>
      <c r="L15" s="64"/>
      <c r="M15" s="64"/>
      <c r="N15" s="65"/>
    </row>
    <row r="16" spans="1:14">
      <c r="A16" s="81" t="s">
        <v>85</v>
      </c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3"/>
    </row>
    <row r="17" spans="1:14">
      <c r="A17" s="84" t="s">
        <v>58</v>
      </c>
      <c r="B17" s="79" t="s">
        <v>59</v>
      </c>
      <c r="C17" s="79" t="s">
        <v>86</v>
      </c>
      <c r="D17" s="79" t="s">
        <v>87</v>
      </c>
      <c r="E17" s="79" t="s">
        <v>88</v>
      </c>
      <c r="F17" s="79"/>
      <c r="G17" s="79"/>
      <c r="H17" s="79"/>
      <c r="I17" s="79"/>
      <c r="J17" s="79"/>
      <c r="K17" s="79"/>
      <c r="L17" s="79"/>
      <c r="M17" s="79" t="s">
        <v>89</v>
      </c>
      <c r="N17" s="80"/>
    </row>
    <row r="18" spans="1:14">
      <c r="A18" s="84"/>
      <c r="B18" s="79"/>
      <c r="C18" s="79"/>
      <c r="D18" s="79"/>
      <c r="E18" s="11" t="s">
        <v>59</v>
      </c>
      <c r="F18" s="11" t="s">
        <v>60</v>
      </c>
      <c r="G18" s="11" t="s">
        <v>65</v>
      </c>
      <c r="H18" s="11" t="s">
        <v>90</v>
      </c>
      <c r="I18" s="11" t="s">
        <v>61</v>
      </c>
      <c r="J18" s="79" t="s">
        <v>87</v>
      </c>
      <c r="K18" s="79"/>
      <c r="L18" s="79"/>
      <c r="M18" s="79"/>
      <c r="N18" s="80"/>
    </row>
    <row r="19" spans="1:14">
      <c r="A19" s="6" t="s">
        <v>91</v>
      </c>
      <c r="B19" s="3" t="str">
        <f>B2</f>
        <v>Insumo</v>
      </c>
      <c r="C19" s="3" t="s">
        <v>92</v>
      </c>
      <c r="D19" s="3" t="s">
        <v>500</v>
      </c>
      <c r="E19" s="3"/>
      <c r="F19" s="3"/>
      <c r="G19" s="3"/>
      <c r="H19" s="3"/>
      <c r="I19" s="3"/>
      <c r="J19" s="45"/>
      <c r="K19" s="48"/>
      <c r="L19" s="49"/>
      <c r="M19" s="45"/>
      <c r="N19" s="46"/>
    </row>
    <row r="20" spans="1:14">
      <c r="A20" s="6" t="s">
        <v>91</v>
      </c>
      <c r="B20" s="43" t="str">
        <f>B2</f>
        <v>Insumo</v>
      </c>
      <c r="C20" s="43" t="s">
        <v>97</v>
      </c>
      <c r="D20" s="43" t="s">
        <v>501</v>
      </c>
      <c r="E20" s="3" t="s">
        <v>496</v>
      </c>
      <c r="F20" s="3" t="s">
        <v>68</v>
      </c>
      <c r="G20" s="3"/>
      <c r="H20" s="3" t="s">
        <v>94</v>
      </c>
      <c r="I20" s="3" t="s">
        <v>49</v>
      </c>
      <c r="J20" s="45" t="s">
        <v>502</v>
      </c>
      <c r="K20" s="48"/>
      <c r="L20" s="49"/>
      <c r="M20" s="45"/>
      <c r="N20" s="46"/>
    </row>
    <row r="21" spans="1:14">
      <c r="A21" s="6" t="s">
        <v>91</v>
      </c>
      <c r="B21" s="44"/>
      <c r="C21" s="44"/>
      <c r="D21" s="44"/>
      <c r="E21" s="3" t="s">
        <v>498</v>
      </c>
      <c r="F21" s="3" t="s">
        <v>195</v>
      </c>
      <c r="G21" s="3"/>
      <c r="H21" s="3" t="s">
        <v>94</v>
      </c>
      <c r="I21" s="3" t="s">
        <v>49</v>
      </c>
      <c r="J21" s="45" t="s">
        <v>503</v>
      </c>
      <c r="K21" s="48"/>
      <c r="L21" s="49"/>
      <c r="M21" s="45"/>
      <c r="N21" s="46"/>
    </row>
    <row r="22" spans="1:14">
      <c r="A22" s="58" t="s">
        <v>101</v>
      </c>
      <c r="B22" s="59"/>
      <c r="C22" s="59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60"/>
    </row>
    <row r="23" spans="1:14">
      <c r="A23" s="63" t="s">
        <v>58</v>
      </c>
      <c r="B23" s="47" t="s">
        <v>59</v>
      </c>
      <c r="C23" s="47" t="s">
        <v>102</v>
      </c>
      <c r="D23" s="47" t="s">
        <v>103</v>
      </c>
      <c r="E23" s="47" t="s">
        <v>87</v>
      </c>
      <c r="F23" s="47" t="s">
        <v>88</v>
      </c>
      <c r="G23" s="47"/>
      <c r="H23" s="47"/>
      <c r="I23" s="47"/>
      <c r="J23" s="47"/>
      <c r="K23" s="47"/>
      <c r="L23" s="47" t="s">
        <v>104</v>
      </c>
      <c r="M23" s="47"/>
      <c r="N23" s="61" t="s">
        <v>89</v>
      </c>
    </row>
    <row r="24" spans="1:14">
      <c r="A24" s="63"/>
      <c r="B24" s="47"/>
      <c r="C24" s="47"/>
      <c r="D24" s="47"/>
      <c r="E24" s="47"/>
      <c r="F24" s="12" t="s">
        <v>59</v>
      </c>
      <c r="G24" s="12" t="s">
        <v>60</v>
      </c>
      <c r="H24" s="12" t="s">
        <v>65</v>
      </c>
      <c r="I24" s="12" t="s">
        <v>90</v>
      </c>
      <c r="J24" s="12" t="s">
        <v>61</v>
      </c>
      <c r="K24" s="12" t="s">
        <v>87</v>
      </c>
      <c r="L24" s="12" t="s">
        <v>60</v>
      </c>
      <c r="M24" s="12" t="s">
        <v>65</v>
      </c>
      <c r="N24" s="61"/>
    </row>
    <row r="25" spans="1:14">
      <c r="A25" s="6" t="s">
        <v>91</v>
      </c>
      <c r="B25" s="3" t="s">
        <v>504</v>
      </c>
      <c r="C25" s="3" t="s">
        <v>106</v>
      </c>
      <c r="D25" s="3" t="s">
        <v>49</v>
      </c>
      <c r="E25" s="3" t="s">
        <v>505</v>
      </c>
      <c r="F25" s="3"/>
      <c r="G25" s="3"/>
      <c r="H25" s="3"/>
      <c r="I25" s="3"/>
      <c r="J25" s="3"/>
      <c r="K25" s="3"/>
      <c r="L25" s="3" t="s">
        <v>68</v>
      </c>
      <c r="M25" s="3"/>
      <c r="N25" s="7"/>
    </row>
    <row r="26" spans="1:14">
      <c r="A26" s="6" t="s">
        <v>91</v>
      </c>
      <c r="B26" s="3" t="s">
        <v>506</v>
      </c>
      <c r="C26" s="3" t="s">
        <v>112</v>
      </c>
      <c r="D26" s="3" t="s">
        <v>49</v>
      </c>
      <c r="E26" s="3" t="s">
        <v>507</v>
      </c>
      <c r="F26" s="3" t="s">
        <v>496</v>
      </c>
      <c r="G26" s="3" t="s">
        <v>68</v>
      </c>
      <c r="H26" s="3"/>
      <c r="I26" s="3" t="s">
        <v>94</v>
      </c>
      <c r="J26" s="3" t="s">
        <v>49</v>
      </c>
      <c r="K26" s="3" t="s">
        <v>508</v>
      </c>
      <c r="L26" s="3"/>
      <c r="M26" s="3"/>
      <c r="N26" s="7"/>
    </row>
    <row r="27" spans="1:14">
      <c r="A27" s="3" t="s">
        <v>106</v>
      </c>
      <c r="B27" s="3" t="s">
        <v>509</v>
      </c>
      <c r="C27" s="3" t="s">
        <v>106</v>
      </c>
      <c r="D27" s="3" t="s">
        <v>49</v>
      </c>
      <c r="E27" s="3" t="s">
        <v>510</v>
      </c>
      <c r="F27" s="3"/>
      <c r="G27" s="3"/>
      <c r="H27" s="3"/>
      <c r="I27" s="3"/>
      <c r="J27" s="3"/>
      <c r="K27" s="3"/>
      <c r="L27" s="3" t="s">
        <v>195</v>
      </c>
      <c r="M27" s="3"/>
      <c r="N27" s="7"/>
    </row>
    <row r="28" spans="1:14">
      <c r="A28" s="3" t="s">
        <v>112</v>
      </c>
      <c r="B28" s="3" t="s">
        <v>511</v>
      </c>
      <c r="C28" s="3" t="s">
        <v>112</v>
      </c>
      <c r="D28" s="3" t="s">
        <v>49</v>
      </c>
      <c r="E28" s="3" t="s">
        <v>512</v>
      </c>
      <c r="F28" s="3" t="s">
        <v>498</v>
      </c>
      <c r="G28" s="3" t="s">
        <v>195</v>
      </c>
      <c r="H28" s="3"/>
      <c r="I28" s="3" t="s">
        <v>94</v>
      </c>
      <c r="J28" s="3" t="s">
        <v>49</v>
      </c>
      <c r="K28" s="3" t="s">
        <v>513</v>
      </c>
      <c r="L28" s="3"/>
      <c r="M28" s="3"/>
      <c r="N28" s="7"/>
    </row>
    <row r="29" spans="1:14">
      <c r="A29" s="54" t="s">
        <v>118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6"/>
    </row>
    <row r="30" spans="1:14">
      <c r="A30" s="62" t="s">
        <v>58</v>
      </c>
      <c r="B30" s="53" t="s">
        <v>59</v>
      </c>
      <c r="C30" s="53" t="s">
        <v>119</v>
      </c>
      <c r="D30" s="53" t="s">
        <v>103</v>
      </c>
      <c r="E30" s="53" t="s">
        <v>87</v>
      </c>
      <c r="F30" s="53" t="s">
        <v>88</v>
      </c>
      <c r="G30" s="53"/>
      <c r="H30" s="53"/>
      <c r="I30" s="53"/>
      <c r="J30" s="53"/>
      <c r="K30" s="53"/>
      <c r="L30" s="53" t="s">
        <v>104</v>
      </c>
      <c r="M30" s="53"/>
      <c r="N30" s="57" t="s">
        <v>89</v>
      </c>
    </row>
    <row r="31" spans="1:14">
      <c r="A31" s="62"/>
      <c r="B31" s="53"/>
      <c r="C31" s="53"/>
      <c r="D31" s="53"/>
      <c r="E31" s="53"/>
      <c r="F31" s="13" t="s">
        <v>59</v>
      </c>
      <c r="G31" s="13" t="s">
        <v>60</v>
      </c>
      <c r="H31" s="13" t="s">
        <v>65</v>
      </c>
      <c r="I31" s="13" t="s">
        <v>90</v>
      </c>
      <c r="J31" s="13" t="s">
        <v>61</v>
      </c>
      <c r="K31" s="13" t="s">
        <v>87</v>
      </c>
      <c r="L31" s="13" t="s">
        <v>60</v>
      </c>
      <c r="M31" s="13" t="s">
        <v>65</v>
      </c>
      <c r="N31" s="57"/>
    </row>
  </sheetData>
  <mergeCells count="57">
    <mergeCell ref="M21:N21"/>
    <mergeCell ref="D20:D21"/>
    <mergeCell ref="C20:C21"/>
    <mergeCell ref="B20:B21"/>
    <mergeCell ref="M20:N20"/>
    <mergeCell ref="A12:A13"/>
    <mergeCell ref="B12:B13"/>
    <mergeCell ref="C12:D12"/>
    <mergeCell ref="E12:E13"/>
    <mergeCell ref="J21:L21"/>
    <mergeCell ref="B10:D10"/>
    <mergeCell ref="A7:E7"/>
    <mergeCell ref="B8:D8"/>
    <mergeCell ref="B9:D9"/>
    <mergeCell ref="A11:N11"/>
    <mergeCell ref="B6:E6"/>
    <mergeCell ref="A1:E1"/>
    <mergeCell ref="B2:E2"/>
    <mergeCell ref="B3:E3"/>
    <mergeCell ref="B4:E4"/>
    <mergeCell ref="B5:E5"/>
    <mergeCell ref="F12:F13"/>
    <mergeCell ref="G12:I13"/>
    <mergeCell ref="J12:N13"/>
    <mergeCell ref="G14:I14"/>
    <mergeCell ref="J14:N14"/>
    <mergeCell ref="J15:N15"/>
    <mergeCell ref="E23:E24"/>
    <mergeCell ref="A16:N16"/>
    <mergeCell ref="A17:A18"/>
    <mergeCell ref="B17:B18"/>
    <mergeCell ref="C17:C18"/>
    <mergeCell ref="D17:D18"/>
    <mergeCell ref="E17:L17"/>
    <mergeCell ref="M17:N18"/>
    <mergeCell ref="J18:L18"/>
    <mergeCell ref="J19:L19"/>
    <mergeCell ref="M19:N19"/>
    <mergeCell ref="J20:L20"/>
    <mergeCell ref="D23:D24"/>
    <mergeCell ref="A22:N22"/>
    <mergeCell ref="G15:I15"/>
    <mergeCell ref="L30:M30"/>
    <mergeCell ref="N30:N31"/>
    <mergeCell ref="F23:K23"/>
    <mergeCell ref="L23:M23"/>
    <mergeCell ref="N23:N24"/>
    <mergeCell ref="A29:N29"/>
    <mergeCell ref="A30:A31"/>
    <mergeCell ref="B30:B31"/>
    <mergeCell ref="C30:C31"/>
    <mergeCell ref="D30:D31"/>
    <mergeCell ref="E30:E31"/>
    <mergeCell ref="F30:K30"/>
    <mergeCell ref="A23:A24"/>
    <mergeCell ref="B23:B24"/>
    <mergeCell ref="C23:C24"/>
  </mergeCells>
  <hyperlinks>
    <hyperlink ref="A1:E1" location="Clases!A1" display="&lt;-Volver al inicio" xr:uid="{51BE8970-E21A-4731-A6B3-AD5DC3789C8F}"/>
    <hyperlink ref="E10" location="'DetalleAbastecimiento'!B2" display="DetalleAbastecimiento" xr:uid="{3C39B086-4EF4-46F6-AFD7-D60A3EF7B122}"/>
    <hyperlink ref="E9" location="'Produccion'!B2" display="Produccion" xr:uid="{B91A107A-327C-47B7-9E54-B0355F9792C5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13093403-ECD6-4D9F-98AE-87843E80065E}">
          <x14:formula1>
            <xm:f>Valores!$D$2:$D$3</xm:f>
          </x14:formula1>
          <xm:sqref>B5</xm:sqref>
        </x14:dataValidation>
        <x14:dataValidation type="list" allowBlank="1" showInputMessage="1" showErrorMessage="1" xr:uid="{95FC2C60-81E1-4003-9555-F6DC146B74CC}">
          <x14:formula1>
            <xm:f>Valores!$E$2:$E$3</xm:f>
          </x14:formula1>
          <xm:sqref>B6 E14:E15 D25:D28 I19:I21 J25:J28</xm:sqref>
        </x14:dataValidation>
        <x14:dataValidation type="list" allowBlank="1" showInputMessage="1" showErrorMessage="1" xr:uid="{36CC1C7C-F50B-4C70-941D-89F82EFAD117}">
          <x14:formula1>
            <xm:f>Valores!$F$2:$F$5</xm:f>
          </x14:formula1>
          <xm:sqref>A14:A15 A19:A21 A25:A26</xm:sqref>
        </x14:dataValidation>
        <x14:dataValidation type="list" allowBlank="1" showInputMessage="1" showErrorMessage="1" xr:uid="{B17703C0-992C-40F1-92F9-2EEB26A2104D}">
          <x14:formula1>
            <xm:f>Valores!$G$2:$G$12</xm:f>
          </x14:formula1>
          <xm:sqref>C14:C15 G25:G28 L25:L28 F19:F21</xm:sqref>
        </x14:dataValidation>
        <x14:dataValidation type="list" allowBlank="1" showInputMessage="1" showErrorMessage="1" xr:uid="{AEFA8F66-550B-4765-97C6-CDC82B08B162}">
          <x14:formula1>
            <xm:f>Valores!$H$2:$H$3</xm:f>
          </x14:formula1>
          <xm:sqref>F14:F15</xm:sqref>
        </x14:dataValidation>
        <x14:dataValidation type="list" allowBlank="1" showInputMessage="1" showErrorMessage="1" xr:uid="{FDE11097-5BC2-4716-98CC-E14799E5B727}">
          <x14:formula1>
            <xm:f>Valores!$I$2:$I$3</xm:f>
          </x14:formula1>
          <xm:sqref>C19:C20</xm:sqref>
        </x14:dataValidation>
        <x14:dataValidation type="list" allowBlank="1" showInputMessage="1" showErrorMessage="1" xr:uid="{60358C0F-1580-4BEC-AAE5-E29AAF90626E}">
          <x14:formula1>
            <xm:f>Valores!$J$2:$J$3</xm:f>
          </x14:formula1>
          <xm:sqref>H19:H21 I25:I28</xm:sqref>
        </x14:dataValidation>
        <x14:dataValidation type="list" allowBlank="1" showInputMessage="1" showErrorMessage="1" xr:uid="{24911E70-D3BE-4F14-B1B1-48F155127A1C}">
          <x14:formula1>
            <xm:f>Valores!$K$2:$K$3</xm:f>
          </x14:formula1>
          <xm:sqref>A27:A28 C25:C28</xm:sqref>
        </x14:dataValidation>
        <x14:dataValidation type="list" allowBlank="1" showInputMessage="1" showErrorMessage="1" xr:uid="{47281B4E-760B-4738-89B2-90689DEC46E3}">
          <x14:formula1>
            <xm:f>Valores!$B$2:$B$3</xm:f>
          </x14:formula1>
          <xm:sqref>A9:A10</xm:sqref>
        </x14:dataValidation>
        <x14:dataValidation type="list" allowBlank="1" showInputMessage="1" showErrorMessage="1" xr:uid="{4A24A670-D64C-43F8-A845-92098755B340}">
          <x14:formula1>
            <xm:f>Valores!$C$2:$C$7</xm:f>
          </x14:formula1>
          <xm:sqref>B9:B10</xm:sqref>
        </x14:dataValidation>
        <x14:dataValidation type="list" allowBlank="1" showInputMessage="1" showErrorMessage="1" xr:uid="{602FA575-8644-42AC-93F6-C6D279A64E99}">
          <x14:formula1>
            <xm:f>Clases!$A$2:$A$21</xm:f>
          </x14:formula1>
          <xm:sqref>E9:E10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D9B6-A391-45DD-A135-4596F67C94B4}">
  <dimension ref="A1:N38"/>
  <sheetViews>
    <sheetView zoomScale="55" zoomScaleNormal="55" workbookViewId="0">
      <pane ySplit="1" topLeftCell="A13" activePane="bottomLeft" state="frozen"/>
      <selection pane="bottomLeft" activeCell="B40" sqref="B40"/>
    </sheetView>
  </sheetViews>
  <sheetFormatPr defaultColWidth="19.7109375" defaultRowHeight="15"/>
  <cols>
    <col min="1" max="1" width="28.7109375" style="1" customWidth="1"/>
    <col min="2" max="2" width="28.5703125" style="1" customWidth="1"/>
    <col min="3" max="3" width="27.140625" style="1" bestFit="1" customWidth="1"/>
    <col min="4" max="4" width="87.42578125" style="1" customWidth="1"/>
    <col min="5" max="5" width="72.28515625" style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80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Clases!A18</f>
        <v>DetalleAbastecimiento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Clases!B18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Clases!C18</f>
        <v>Clase que representa el detalle de abastecimiento de insumos para la producción, incluyendo información sobre cantidades y fechas de compra.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54</v>
      </c>
      <c r="B9" s="70" t="s">
        <v>185</v>
      </c>
      <c r="C9" s="70"/>
      <c r="D9" s="70"/>
      <c r="E9" s="35" t="s">
        <v>31</v>
      </c>
    </row>
    <row r="10" spans="1:14">
      <c r="A10" s="9" t="s">
        <v>54</v>
      </c>
      <c r="B10" s="70" t="s">
        <v>55</v>
      </c>
      <c r="C10" s="70"/>
      <c r="D10" s="70"/>
      <c r="E10" s="35" t="s">
        <v>35</v>
      </c>
    </row>
    <row r="11" spans="1:14">
      <c r="A11" s="9" t="s">
        <v>54</v>
      </c>
      <c r="B11" s="70" t="s">
        <v>55</v>
      </c>
      <c r="C11" s="70"/>
      <c r="D11" s="70"/>
      <c r="E11" s="35" t="s">
        <v>39</v>
      </c>
    </row>
    <row r="12" spans="1:14">
      <c r="A12" s="66" t="s">
        <v>57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8"/>
    </row>
    <row r="13" spans="1:14">
      <c r="A13" s="73" t="s">
        <v>58</v>
      </c>
      <c r="B13" s="71" t="s">
        <v>59</v>
      </c>
      <c r="C13" s="71" t="s">
        <v>60</v>
      </c>
      <c r="D13" s="71"/>
      <c r="E13" s="71" t="s">
        <v>61</v>
      </c>
      <c r="F13" s="71" t="s">
        <v>62</v>
      </c>
      <c r="G13" s="71" t="s">
        <v>63</v>
      </c>
      <c r="H13" s="71"/>
      <c r="I13" s="71"/>
      <c r="J13" s="71" t="s">
        <v>64</v>
      </c>
      <c r="K13" s="71"/>
      <c r="L13" s="71"/>
      <c r="M13" s="71"/>
      <c r="N13" s="72"/>
    </row>
    <row r="14" spans="1:14">
      <c r="A14" s="73"/>
      <c r="B14" s="71"/>
      <c r="C14" s="10" t="s">
        <v>60</v>
      </c>
      <c r="D14" s="10" t="s">
        <v>65</v>
      </c>
      <c r="E14" s="71"/>
      <c r="F14" s="71"/>
      <c r="G14" s="71"/>
      <c r="H14" s="71"/>
      <c r="I14" s="71"/>
      <c r="J14" s="71"/>
      <c r="K14" s="71"/>
      <c r="L14" s="71"/>
      <c r="M14" s="71"/>
      <c r="N14" s="72"/>
    </row>
    <row r="15" spans="1:14">
      <c r="A15" s="6" t="s">
        <v>66</v>
      </c>
      <c r="B15" s="3" t="s">
        <v>514</v>
      </c>
      <c r="C15" s="3" t="s">
        <v>68</v>
      </c>
      <c r="D15" s="3"/>
      <c r="E15" s="3" t="s">
        <v>49</v>
      </c>
      <c r="F15" s="3" t="s">
        <v>69</v>
      </c>
      <c r="G15" s="64"/>
      <c r="H15" s="64"/>
      <c r="I15" s="64"/>
      <c r="J15" s="64" t="s">
        <v>515</v>
      </c>
      <c r="K15" s="64"/>
      <c r="L15" s="64"/>
      <c r="M15" s="64"/>
      <c r="N15" s="65"/>
    </row>
    <row r="16" spans="1:14">
      <c r="A16" s="6" t="s">
        <v>66</v>
      </c>
      <c r="B16" s="3" t="s">
        <v>379</v>
      </c>
      <c r="C16" s="3" t="s">
        <v>75</v>
      </c>
      <c r="D16" s="3" t="s">
        <v>76</v>
      </c>
      <c r="E16" s="3" t="s">
        <v>49</v>
      </c>
      <c r="F16" s="3" t="s">
        <v>69</v>
      </c>
      <c r="G16" s="64"/>
      <c r="H16" s="64"/>
      <c r="I16" s="64"/>
      <c r="J16" s="64" t="s">
        <v>516</v>
      </c>
      <c r="K16" s="64"/>
      <c r="L16" s="64"/>
      <c r="M16" s="64"/>
      <c r="N16" s="65"/>
    </row>
    <row r="17" spans="1:14">
      <c r="A17" s="6" t="s">
        <v>66</v>
      </c>
      <c r="B17" t="s">
        <v>517</v>
      </c>
      <c r="C17" s="3" t="s">
        <v>75</v>
      </c>
      <c r="D17" s="3" t="s">
        <v>76</v>
      </c>
      <c r="E17" s="3" t="s">
        <v>49</v>
      </c>
      <c r="F17" s="3" t="s">
        <v>69</v>
      </c>
      <c r="G17" s="64"/>
      <c r="H17" s="64"/>
      <c r="I17" s="64"/>
      <c r="J17" s="64" t="s">
        <v>518</v>
      </c>
      <c r="K17" s="64"/>
      <c r="L17" s="64"/>
      <c r="M17" s="64"/>
      <c r="N17" s="65"/>
    </row>
    <row r="18" spans="1:14">
      <c r="A18" s="81" t="s">
        <v>85</v>
      </c>
      <c r="B18" s="82"/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3"/>
    </row>
    <row r="19" spans="1:14">
      <c r="A19" s="84" t="s">
        <v>58</v>
      </c>
      <c r="B19" s="79" t="s">
        <v>59</v>
      </c>
      <c r="C19" s="79" t="s">
        <v>86</v>
      </c>
      <c r="D19" s="79" t="s">
        <v>87</v>
      </c>
      <c r="E19" s="79" t="s">
        <v>88</v>
      </c>
      <c r="F19" s="79"/>
      <c r="G19" s="79"/>
      <c r="H19" s="79"/>
      <c r="I19" s="79"/>
      <c r="J19" s="79"/>
      <c r="K19" s="79"/>
      <c r="L19" s="79"/>
      <c r="M19" s="79" t="s">
        <v>89</v>
      </c>
      <c r="N19" s="80"/>
    </row>
    <row r="20" spans="1:14">
      <c r="A20" s="84"/>
      <c r="B20" s="79"/>
      <c r="C20" s="79"/>
      <c r="D20" s="79"/>
      <c r="E20" s="11" t="s">
        <v>59</v>
      </c>
      <c r="F20" s="11" t="s">
        <v>60</v>
      </c>
      <c r="G20" s="11" t="s">
        <v>65</v>
      </c>
      <c r="H20" s="11" t="s">
        <v>90</v>
      </c>
      <c r="I20" s="11" t="s">
        <v>61</v>
      </c>
      <c r="J20" s="79" t="s">
        <v>87</v>
      </c>
      <c r="K20" s="79"/>
      <c r="L20" s="79"/>
      <c r="M20" s="79"/>
      <c r="N20" s="80"/>
    </row>
    <row r="21" spans="1:14">
      <c r="A21" s="6" t="s">
        <v>91</v>
      </c>
      <c r="B21" s="3" t="str">
        <f>B2</f>
        <v>DetalleAbastecimiento</v>
      </c>
      <c r="C21" s="3" t="s">
        <v>92</v>
      </c>
      <c r="D21" s="3" t="s">
        <v>519</v>
      </c>
      <c r="E21" s="3"/>
      <c r="F21" s="3"/>
      <c r="G21" s="3"/>
      <c r="H21" s="3"/>
      <c r="I21" s="3"/>
      <c r="J21" s="45"/>
      <c r="K21" s="48"/>
      <c r="L21" s="49"/>
      <c r="M21" s="45"/>
      <c r="N21" s="46"/>
    </row>
    <row r="22" spans="1:14">
      <c r="A22" s="6" t="s">
        <v>91</v>
      </c>
      <c r="B22" s="43" t="str">
        <f>B2</f>
        <v>DetalleAbastecimiento</v>
      </c>
      <c r="C22" s="3" t="s">
        <v>97</v>
      </c>
      <c r="D22" s="43" t="s">
        <v>520</v>
      </c>
      <c r="E22" s="3" t="s">
        <v>514</v>
      </c>
      <c r="F22" s="3" t="s">
        <v>68</v>
      </c>
      <c r="G22" s="3"/>
      <c r="H22" s="3" t="s">
        <v>94</v>
      </c>
      <c r="I22" s="3" t="s">
        <v>49</v>
      </c>
      <c r="J22" s="45" t="s">
        <v>521</v>
      </c>
      <c r="K22" s="48"/>
      <c r="L22" s="49"/>
      <c r="M22" s="45"/>
      <c r="N22" s="46"/>
    </row>
    <row r="23" spans="1:14">
      <c r="A23" s="6" t="s">
        <v>91</v>
      </c>
      <c r="B23" s="85"/>
      <c r="C23" s="3" t="s">
        <v>97</v>
      </c>
      <c r="D23" s="85"/>
      <c r="E23" s="3" t="s">
        <v>379</v>
      </c>
      <c r="F23" s="3" t="s">
        <v>75</v>
      </c>
      <c r="G23" s="3" t="s">
        <v>76</v>
      </c>
      <c r="H23" s="3" t="s">
        <v>94</v>
      </c>
      <c r="I23" s="3" t="s">
        <v>49</v>
      </c>
      <c r="J23" s="28" t="s">
        <v>522</v>
      </c>
      <c r="K23" s="92"/>
      <c r="L23" s="93"/>
      <c r="M23" s="28"/>
      <c r="N23" s="31"/>
    </row>
    <row r="24" spans="1:14">
      <c r="A24" s="6" t="s">
        <v>91</v>
      </c>
      <c r="B24" s="44"/>
      <c r="C24" s="3" t="s">
        <v>97</v>
      </c>
      <c r="D24" s="44"/>
      <c r="E24" s="3" t="s">
        <v>517</v>
      </c>
      <c r="F24" s="3" t="s">
        <v>75</v>
      </c>
      <c r="G24" s="3" t="s">
        <v>76</v>
      </c>
      <c r="H24" s="3" t="s">
        <v>94</v>
      </c>
      <c r="I24" s="3" t="s">
        <v>49</v>
      </c>
      <c r="J24" s="45" t="s">
        <v>523</v>
      </c>
      <c r="K24" s="48"/>
      <c r="L24" s="49"/>
      <c r="M24" s="28"/>
      <c r="N24" s="31"/>
    </row>
    <row r="25" spans="1:14">
      <c r="A25" s="58" t="s">
        <v>101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60"/>
    </row>
    <row r="26" spans="1:14">
      <c r="A26" s="63" t="s">
        <v>58</v>
      </c>
      <c r="B26" s="47" t="s">
        <v>59</v>
      </c>
      <c r="C26" s="47" t="s">
        <v>102</v>
      </c>
      <c r="D26" s="47" t="s">
        <v>103</v>
      </c>
      <c r="E26" s="47" t="s">
        <v>87</v>
      </c>
      <c r="F26" s="47" t="s">
        <v>88</v>
      </c>
      <c r="G26" s="47"/>
      <c r="H26" s="47"/>
      <c r="I26" s="47"/>
      <c r="J26" s="47"/>
      <c r="K26" s="47"/>
      <c r="L26" s="47" t="s">
        <v>104</v>
      </c>
      <c r="M26" s="47"/>
      <c r="N26" s="61" t="s">
        <v>89</v>
      </c>
    </row>
    <row r="27" spans="1:14">
      <c r="A27" s="63"/>
      <c r="B27" s="47"/>
      <c r="C27" s="47"/>
      <c r="D27" s="47"/>
      <c r="E27" s="47"/>
      <c r="F27" s="12" t="s">
        <v>59</v>
      </c>
      <c r="G27" s="12" t="s">
        <v>60</v>
      </c>
      <c r="H27" s="12" t="s">
        <v>65</v>
      </c>
      <c r="I27" s="12" t="s">
        <v>90</v>
      </c>
      <c r="J27" s="12" t="s">
        <v>61</v>
      </c>
      <c r="K27" s="12" t="s">
        <v>87</v>
      </c>
      <c r="L27" s="12" t="s">
        <v>60</v>
      </c>
      <c r="M27" s="12" t="s">
        <v>65</v>
      </c>
      <c r="N27" s="61"/>
    </row>
    <row r="28" spans="1:14">
      <c r="A28" s="6" t="s">
        <v>91</v>
      </c>
      <c r="B28" s="3" t="s">
        <v>524</v>
      </c>
      <c r="C28" s="3" t="s">
        <v>106</v>
      </c>
      <c r="D28" s="3" t="s">
        <v>49</v>
      </c>
      <c r="E28" s="3" t="s">
        <v>525</v>
      </c>
      <c r="F28" s="3"/>
      <c r="G28" s="3"/>
      <c r="H28" s="3"/>
      <c r="I28" s="3"/>
      <c r="J28" s="3"/>
      <c r="K28" s="3"/>
      <c r="L28" s="3" t="s">
        <v>68</v>
      </c>
      <c r="M28" s="3"/>
      <c r="N28" s="7"/>
    </row>
    <row r="29" spans="1:14">
      <c r="A29" s="6" t="s">
        <v>91</v>
      </c>
      <c r="B29" s="3" t="s">
        <v>526</v>
      </c>
      <c r="C29" s="3" t="s">
        <v>112</v>
      </c>
      <c r="D29" s="3" t="s">
        <v>49</v>
      </c>
      <c r="E29" s="3" t="s">
        <v>527</v>
      </c>
      <c r="F29" s="3" t="s">
        <v>514</v>
      </c>
      <c r="G29" s="3" t="s">
        <v>68</v>
      </c>
      <c r="H29" s="3"/>
      <c r="I29" s="3" t="s">
        <v>94</v>
      </c>
      <c r="J29" s="3" t="s">
        <v>49</v>
      </c>
      <c r="K29" s="3" t="s">
        <v>528</v>
      </c>
      <c r="L29" s="3"/>
      <c r="M29" s="3"/>
      <c r="N29" s="7"/>
    </row>
    <row r="30" spans="1:14">
      <c r="A30" s="6" t="s">
        <v>91</v>
      </c>
      <c r="B30" s="3" t="s">
        <v>391</v>
      </c>
      <c r="C30" s="3" t="s">
        <v>106</v>
      </c>
      <c r="D30" s="3" t="s">
        <v>49</v>
      </c>
      <c r="E30" s="3" t="s">
        <v>392</v>
      </c>
      <c r="F30" s="3"/>
      <c r="G30" s="3"/>
      <c r="H30" s="3"/>
      <c r="I30" s="3"/>
      <c r="J30" s="3"/>
      <c r="K30" s="3"/>
      <c r="L30" s="3" t="s">
        <v>75</v>
      </c>
      <c r="M30" s="3" t="s">
        <v>76</v>
      </c>
      <c r="N30" s="7"/>
    </row>
    <row r="31" spans="1:14">
      <c r="A31" s="6" t="s">
        <v>91</v>
      </c>
      <c r="B31" s="3" t="s">
        <v>393</v>
      </c>
      <c r="C31" s="3" t="s">
        <v>112</v>
      </c>
      <c r="D31" s="3" t="s">
        <v>49</v>
      </c>
      <c r="E31" s="3" t="s">
        <v>394</v>
      </c>
      <c r="F31" s="3" t="s">
        <v>379</v>
      </c>
      <c r="G31" s="3" t="s">
        <v>75</v>
      </c>
      <c r="H31" s="3" t="s">
        <v>76</v>
      </c>
      <c r="I31" s="3" t="s">
        <v>94</v>
      </c>
      <c r="J31" s="3" t="s">
        <v>49</v>
      </c>
      <c r="K31" s="3" t="s">
        <v>395</v>
      </c>
      <c r="L31" s="3"/>
      <c r="M31" s="3"/>
      <c r="N31" s="7"/>
    </row>
    <row r="32" spans="1:14">
      <c r="A32" s="6" t="s">
        <v>91</v>
      </c>
      <c r="B32" s="3" t="s">
        <v>529</v>
      </c>
      <c r="C32" s="3" t="s">
        <v>106</v>
      </c>
      <c r="D32" s="3" t="s">
        <v>49</v>
      </c>
      <c r="E32" s="3" t="s">
        <v>530</v>
      </c>
      <c r="F32" s="3"/>
      <c r="G32" s="3"/>
      <c r="H32" s="3"/>
      <c r="I32" s="3"/>
      <c r="J32" s="3"/>
      <c r="K32" s="3"/>
      <c r="L32" s="3" t="s">
        <v>75</v>
      </c>
      <c r="M32" s="3" t="s">
        <v>76</v>
      </c>
      <c r="N32" s="7"/>
    </row>
    <row r="33" spans="1:14">
      <c r="A33" s="6" t="s">
        <v>91</v>
      </c>
      <c r="B33" s="3" t="s">
        <v>531</v>
      </c>
      <c r="C33" s="3" t="s">
        <v>112</v>
      </c>
      <c r="D33" s="3" t="s">
        <v>49</v>
      </c>
      <c r="E33" s="3" t="s">
        <v>532</v>
      </c>
      <c r="F33" s="3" t="s">
        <v>517</v>
      </c>
      <c r="G33" s="3" t="s">
        <v>75</v>
      </c>
      <c r="H33" s="3" t="s">
        <v>76</v>
      </c>
      <c r="I33" s="3" t="s">
        <v>94</v>
      </c>
      <c r="J33" s="3" t="s">
        <v>49</v>
      </c>
      <c r="K33" s="3" t="s">
        <v>533</v>
      </c>
      <c r="L33" s="3"/>
      <c r="M33" s="3"/>
      <c r="N33" s="7"/>
    </row>
    <row r="34" spans="1:14">
      <c r="A34" s="54" t="s">
        <v>118</v>
      </c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6"/>
    </row>
    <row r="35" spans="1:14">
      <c r="A35" s="62" t="s">
        <v>58</v>
      </c>
      <c r="B35" s="53" t="s">
        <v>59</v>
      </c>
      <c r="C35" s="53" t="s">
        <v>119</v>
      </c>
      <c r="D35" s="53" t="s">
        <v>103</v>
      </c>
      <c r="E35" s="53" t="s">
        <v>87</v>
      </c>
      <c r="F35" s="53" t="s">
        <v>88</v>
      </c>
      <c r="G35" s="53"/>
      <c r="H35" s="53"/>
      <c r="I35" s="53"/>
      <c r="J35" s="53"/>
      <c r="K35" s="53"/>
      <c r="L35" s="53" t="s">
        <v>104</v>
      </c>
      <c r="M35" s="53"/>
      <c r="N35" s="57" t="s">
        <v>89</v>
      </c>
    </row>
    <row r="36" spans="1:14">
      <c r="A36" s="62"/>
      <c r="B36" s="53"/>
      <c r="C36" s="53"/>
      <c r="D36" s="53"/>
      <c r="E36" s="53"/>
      <c r="F36" s="13" t="s">
        <v>59</v>
      </c>
      <c r="G36" s="13" t="s">
        <v>60</v>
      </c>
      <c r="H36" s="13" t="s">
        <v>65</v>
      </c>
      <c r="I36" s="13" t="s">
        <v>90</v>
      </c>
      <c r="J36" s="13" t="s">
        <v>61</v>
      </c>
      <c r="K36" s="13" t="s">
        <v>87</v>
      </c>
      <c r="L36" s="13" t="s">
        <v>60</v>
      </c>
      <c r="M36" s="13" t="s">
        <v>65</v>
      </c>
      <c r="N36" s="57"/>
    </row>
    <row r="37" spans="1:14">
      <c r="A37" s="6" t="s">
        <v>91</v>
      </c>
      <c r="B37" s="3" t="s">
        <v>406</v>
      </c>
      <c r="C37" s="3" t="s">
        <v>69</v>
      </c>
      <c r="D37" s="3" t="s">
        <v>49</v>
      </c>
      <c r="E37" s="3" t="s">
        <v>534</v>
      </c>
      <c r="F37" s="3"/>
      <c r="G37" s="3"/>
      <c r="H37" s="3"/>
      <c r="I37" s="3"/>
      <c r="J37" s="3"/>
      <c r="K37" s="3"/>
      <c r="L37" s="15" t="s">
        <v>75</v>
      </c>
      <c r="M37" s="3" t="s">
        <v>76</v>
      </c>
      <c r="N37" s="7"/>
    </row>
    <row r="38" spans="1:14">
      <c r="A38" s="14" t="s">
        <v>91</v>
      </c>
      <c r="B38" s="15" t="s">
        <v>535</v>
      </c>
      <c r="C38" s="15" t="s">
        <v>69</v>
      </c>
      <c r="D38" s="15" t="s">
        <v>49</v>
      </c>
      <c r="E38" s="15" t="s">
        <v>536</v>
      </c>
      <c r="F38" s="15"/>
      <c r="G38" s="15"/>
      <c r="H38" s="15"/>
      <c r="I38" s="15"/>
      <c r="J38" s="15"/>
      <c r="K38" s="15"/>
      <c r="L38" s="15" t="s">
        <v>72</v>
      </c>
      <c r="M38" s="3" t="s">
        <v>76</v>
      </c>
      <c r="N38" s="8"/>
    </row>
  </sheetData>
  <mergeCells count="59">
    <mergeCell ref="B22:B24"/>
    <mergeCell ref="D22:D24"/>
    <mergeCell ref="K23:L23"/>
    <mergeCell ref="J24:L24"/>
    <mergeCell ref="G16:I16"/>
    <mergeCell ref="A1:E1"/>
    <mergeCell ref="B2:E2"/>
    <mergeCell ref="B3:E3"/>
    <mergeCell ref="B4:E4"/>
    <mergeCell ref="B5:E5"/>
    <mergeCell ref="G17:I17"/>
    <mergeCell ref="J17:N17"/>
    <mergeCell ref="G15:I15"/>
    <mergeCell ref="J15:N15"/>
    <mergeCell ref="B6:E6"/>
    <mergeCell ref="A7:E7"/>
    <mergeCell ref="B8:D8"/>
    <mergeCell ref="B9:D9"/>
    <mergeCell ref="A12:N12"/>
    <mergeCell ref="A13:A14"/>
    <mergeCell ref="B13:B14"/>
    <mergeCell ref="C13:D13"/>
    <mergeCell ref="E13:E14"/>
    <mergeCell ref="F13:F14"/>
    <mergeCell ref="G13:I14"/>
    <mergeCell ref="J13:N14"/>
    <mergeCell ref="B11:D11"/>
    <mergeCell ref="B10:D10"/>
    <mergeCell ref="J16:N16"/>
    <mergeCell ref="E26:E27"/>
    <mergeCell ref="A18:N18"/>
    <mergeCell ref="A19:A20"/>
    <mergeCell ref="B19:B20"/>
    <mergeCell ref="C19:C20"/>
    <mergeCell ref="D19:D20"/>
    <mergeCell ref="E19:L19"/>
    <mergeCell ref="M19:N20"/>
    <mergeCell ref="J20:L20"/>
    <mergeCell ref="J21:L21"/>
    <mergeCell ref="M21:N21"/>
    <mergeCell ref="J22:L22"/>
    <mergeCell ref="D26:D27"/>
    <mergeCell ref="A25:N25"/>
    <mergeCell ref="M22:N22"/>
    <mergeCell ref="L35:M35"/>
    <mergeCell ref="N35:N36"/>
    <mergeCell ref="F26:K26"/>
    <mergeCell ref="L26:M26"/>
    <mergeCell ref="N26:N27"/>
    <mergeCell ref="A34:N34"/>
    <mergeCell ref="A35:A36"/>
    <mergeCell ref="B35:B36"/>
    <mergeCell ref="C35:C36"/>
    <mergeCell ref="D35:D36"/>
    <mergeCell ref="E35:E36"/>
    <mergeCell ref="F35:K35"/>
    <mergeCell ref="A26:A27"/>
    <mergeCell ref="B26:B27"/>
    <mergeCell ref="C26:C27"/>
  </mergeCells>
  <hyperlinks>
    <hyperlink ref="A1:E1" location="Clases!A1" display="&lt;-Volver al inicio" xr:uid="{F0E12724-6A40-49A3-BFD6-682B50E8BCD9}"/>
    <hyperlink ref="E9" location="'Produccion'!B2" display="Produccion" xr:uid="{1E2A4428-9B11-4364-96B3-136F1C385F1C}"/>
    <hyperlink ref="E10" location="'Insumo'!B2" display="Insumo" xr:uid="{695B9338-8C95-46D5-974F-24159C98EE70}"/>
    <hyperlink ref="E11" location="'Abastecimiento'!B2" display="Abastecimiento" xr:uid="{CC610B1B-47BA-4FFB-A132-067944CAAE33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3BF4AA24-0840-43B6-84DA-C7E5CFB873F5}">
          <x14:formula1>
            <xm:f>Valores!$C$2:$C$7</xm:f>
          </x14:formula1>
          <xm:sqref>B9:B11</xm:sqref>
        </x14:dataValidation>
        <x14:dataValidation type="list" allowBlank="1" showInputMessage="1" showErrorMessage="1" xr:uid="{920CD478-1B61-45CD-A771-5ABF943B1E09}">
          <x14:formula1>
            <xm:f>Valores!$B$2:$B$3</xm:f>
          </x14:formula1>
          <xm:sqref>A9:A11</xm:sqref>
        </x14:dataValidation>
        <x14:dataValidation type="list" allowBlank="1" showInputMessage="1" showErrorMessage="1" xr:uid="{30F70D30-A032-4986-8A4E-4224BC299A26}">
          <x14:formula1>
            <xm:f>Valores!$K$2:$K$3</xm:f>
          </x14:formula1>
          <xm:sqref>C28:C33</xm:sqref>
        </x14:dataValidation>
        <x14:dataValidation type="list" allowBlank="1" showInputMessage="1" showErrorMessage="1" xr:uid="{5FCF14D2-CF07-4913-8C77-992D442E90F7}">
          <x14:formula1>
            <xm:f>Valores!$J$2:$J$3</xm:f>
          </x14:formula1>
          <xm:sqref>I37:I38 H21:H24 I28:I33</xm:sqref>
        </x14:dataValidation>
        <x14:dataValidation type="list" allowBlank="1" showInputMessage="1" showErrorMessage="1" xr:uid="{13A98B30-2C1C-435D-B656-C4D88824B9A8}">
          <x14:formula1>
            <xm:f>Valores!$I$2:$I$3</xm:f>
          </x14:formula1>
          <xm:sqref>C21:C24</xm:sqref>
        </x14:dataValidation>
        <x14:dataValidation type="list" allowBlank="1" showInputMessage="1" showErrorMessage="1" xr:uid="{284132C2-9371-4257-A20C-B9F6937EF5D2}">
          <x14:formula1>
            <xm:f>Valores!$H$2:$H$3</xm:f>
          </x14:formula1>
          <xm:sqref>F15:F17 C37:C38</xm:sqref>
        </x14:dataValidation>
        <x14:dataValidation type="list" allowBlank="1" showInputMessage="1" showErrorMessage="1" xr:uid="{CBC39369-009E-4279-B0CE-8930D79CE4DF}">
          <x14:formula1>
            <xm:f>Valores!$G$2:$G$12</xm:f>
          </x14:formula1>
          <xm:sqref>C15:C17 F21:F24 L37:L38 G37:G38 G28:G33 L28:L33</xm:sqref>
        </x14:dataValidation>
        <x14:dataValidation type="list" allowBlank="1" showInputMessage="1" showErrorMessage="1" xr:uid="{7424BCD6-56C3-49BC-9989-63644ACC8F66}">
          <x14:formula1>
            <xm:f>Valores!$F$2:$F$5</xm:f>
          </x14:formula1>
          <xm:sqref>A15:A17 A21:A24 A37:A38 A28:A33</xm:sqref>
        </x14:dataValidation>
        <x14:dataValidation type="list" allowBlank="1" showInputMessage="1" showErrorMessage="1" xr:uid="{52928C9A-48AC-412A-88E4-F3FC9BE02AE1}">
          <x14:formula1>
            <xm:f>Valores!$E$2:$E$3</xm:f>
          </x14:formula1>
          <xm:sqref>B6 E15:E17 D37:D38 J37:J38 I21:I24 J28:J33 D28:D33</xm:sqref>
        </x14:dataValidation>
        <x14:dataValidation type="list" allowBlank="1" showInputMessage="1" showErrorMessage="1" xr:uid="{886709DF-A4AF-4AD7-9572-AC465F9F35DC}">
          <x14:formula1>
            <xm:f>Valores!$D$2:$D$3</xm:f>
          </x14:formula1>
          <xm:sqref>B5</xm:sqref>
        </x14:dataValidation>
        <x14:dataValidation type="list" allowBlank="1" showInputMessage="1" showErrorMessage="1" xr:uid="{82F8305B-B621-4D5C-8718-6B2859B3DE18}">
          <x14:formula1>
            <xm:f>Clases!$A$2:$A$21</xm:f>
          </x14:formula1>
          <xm:sqref>E9:E11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8540C-5E1F-4DA2-AE91-032F9AD1B563}">
  <dimension ref="A1:N37"/>
  <sheetViews>
    <sheetView zoomScale="55" zoomScaleNormal="55" workbookViewId="0">
      <pane ySplit="1" topLeftCell="A2" activePane="bottomLeft" state="frozen"/>
      <selection pane="bottomLeft" sqref="A1:E1"/>
    </sheetView>
  </sheetViews>
  <sheetFormatPr defaultColWidth="19.7109375" defaultRowHeight="15"/>
  <cols>
    <col min="1" max="1" width="28.7109375" style="1" customWidth="1"/>
    <col min="2" max="2" width="46.140625" style="1" customWidth="1"/>
    <col min="3" max="3" width="27.140625" style="1" bestFit="1" customWidth="1"/>
    <col min="4" max="4" width="93.1406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87.5703125" style="1" customWidth="1"/>
    <col min="12" max="12" width="17.5703125" style="1" bestFit="1" customWidth="1"/>
    <col min="13" max="13" width="16.28515625" style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Clases!A19</f>
        <v>Abastecimiento</v>
      </c>
      <c r="C2" s="77"/>
      <c r="D2" s="77"/>
      <c r="E2" s="78"/>
    </row>
    <row r="3" spans="1:14">
      <c r="A3" s="17" t="str">
        <f>Clases!$B$1</f>
        <v>Estereotipo</v>
      </c>
      <c r="B3" s="64" t="str">
        <f>Clases!B19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Clases!C19</f>
        <v>Clase que representa el abastecimiento de insumos para la producción, incluyendo información sobre el número de factura, fecha y total del abastecimiento.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56</v>
      </c>
      <c r="B9" s="70" t="s">
        <v>55</v>
      </c>
      <c r="C9" s="70"/>
      <c r="D9" s="70"/>
      <c r="E9" s="35" t="s">
        <v>41</v>
      </c>
    </row>
    <row r="10" spans="1:14">
      <c r="A10" s="9" t="s">
        <v>54</v>
      </c>
      <c r="B10" s="70" t="s">
        <v>185</v>
      </c>
      <c r="C10" s="70"/>
      <c r="D10" s="70"/>
      <c r="E10" s="35" t="s">
        <v>37</v>
      </c>
    </row>
    <row r="11" spans="1:14">
      <c r="A11" s="66" t="s">
        <v>57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</row>
    <row r="12" spans="1:14">
      <c r="A12" s="73" t="s">
        <v>58</v>
      </c>
      <c r="B12" s="71" t="s">
        <v>59</v>
      </c>
      <c r="C12" s="71" t="s">
        <v>60</v>
      </c>
      <c r="D12" s="71"/>
      <c r="E12" s="71" t="s">
        <v>61</v>
      </c>
      <c r="F12" s="71" t="s">
        <v>62</v>
      </c>
      <c r="G12" s="71" t="s">
        <v>63</v>
      </c>
      <c r="H12" s="71"/>
      <c r="I12" s="71"/>
      <c r="J12" s="71" t="s">
        <v>64</v>
      </c>
      <c r="K12" s="71"/>
      <c r="L12" s="71"/>
      <c r="M12" s="71"/>
      <c r="N12" s="72"/>
    </row>
    <row r="13" spans="1:14">
      <c r="A13" s="73"/>
      <c r="B13" s="71"/>
      <c r="C13" s="10" t="s">
        <v>60</v>
      </c>
      <c r="D13" s="10" t="s">
        <v>65</v>
      </c>
      <c r="E13" s="71"/>
      <c r="F13" s="71"/>
      <c r="G13" s="71"/>
      <c r="H13" s="71"/>
      <c r="I13" s="71"/>
      <c r="J13" s="71"/>
      <c r="K13" s="71"/>
      <c r="L13" s="71"/>
      <c r="M13" s="71"/>
      <c r="N13" s="72"/>
    </row>
    <row r="14" spans="1:14">
      <c r="A14" s="6" t="s">
        <v>66</v>
      </c>
      <c r="B14" s="3" t="s">
        <v>537</v>
      </c>
      <c r="C14" s="3" t="s">
        <v>68</v>
      </c>
      <c r="D14" s="3"/>
      <c r="E14" s="3" t="s">
        <v>49</v>
      </c>
      <c r="F14" s="3" t="s">
        <v>69</v>
      </c>
      <c r="G14" s="64"/>
      <c r="H14" s="64"/>
      <c r="I14" s="64"/>
      <c r="J14" s="64" t="s">
        <v>538</v>
      </c>
      <c r="K14" s="64"/>
      <c r="L14" s="64"/>
      <c r="M14" s="64"/>
      <c r="N14" s="65"/>
    </row>
    <row r="15" spans="1:14">
      <c r="A15" s="6" t="s">
        <v>66</v>
      </c>
      <c r="B15" s="3" t="s">
        <v>539</v>
      </c>
      <c r="C15" s="3" t="s">
        <v>72</v>
      </c>
      <c r="D15" s="3"/>
      <c r="E15" s="3" t="s">
        <v>49</v>
      </c>
      <c r="F15" s="3" t="s">
        <v>69</v>
      </c>
      <c r="G15" s="64"/>
      <c r="H15" s="64"/>
      <c r="I15" s="64"/>
      <c r="J15" s="64" t="s">
        <v>540</v>
      </c>
      <c r="K15" s="64"/>
      <c r="L15" s="64"/>
      <c r="M15" s="64"/>
      <c r="N15" s="65"/>
    </row>
    <row r="16" spans="1:14">
      <c r="A16" s="6" t="s">
        <v>66</v>
      </c>
      <c r="B16" s="3" t="s">
        <v>541</v>
      </c>
      <c r="C16" s="3" t="s">
        <v>75</v>
      </c>
      <c r="D16" s="3" t="s">
        <v>76</v>
      </c>
      <c r="E16" s="3" t="s">
        <v>49</v>
      </c>
      <c r="F16" s="3" t="s">
        <v>69</v>
      </c>
      <c r="G16" s="64"/>
      <c r="H16" s="64"/>
      <c r="I16" s="64"/>
      <c r="J16" s="64" t="s">
        <v>542</v>
      </c>
      <c r="K16" s="64"/>
      <c r="L16" s="64"/>
      <c r="M16" s="64"/>
      <c r="N16" s="65"/>
    </row>
    <row r="17" spans="1:14">
      <c r="A17" s="81" t="s">
        <v>85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3"/>
    </row>
    <row r="18" spans="1:14">
      <c r="A18" s="84" t="s">
        <v>58</v>
      </c>
      <c r="B18" s="79" t="s">
        <v>59</v>
      </c>
      <c r="C18" s="79" t="s">
        <v>86</v>
      </c>
      <c r="D18" s="79" t="s">
        <v>87</v>
      </c>
      <c r="E18" s="79" t="s">
        <v>88</v>
      </c>
      <c r="F18" s="79"/>
      <c r="G18" s="79"/>
      <c r="H18" s="79"/>
      <c r="I18" s="79"/>
      <c r="J18" s="79"/>
      <c r="K18" s="79"/>
      <c r="L18" s="79"/>
      <c r="M18" s="79" t="s">
        <v>89</v>
      </c>
      <c r="N18" s="80"/>
    </row>
    <row r="19" spans="1:14">
      <c r="A19" s="84"/>
      <c r="B19" s="79"/>
      <c r="C19" s="79"/>
      <c r="D19" s="79"/>
      <c r="E19" s="11" t="s">
        <v>59</v>
      </c>
      <c r="F19" s="11" t="s">
        <v>60</v>
      </c>
      <c r="G19" s="11" t="s">
        <v>65</v>
      </c>
      <c r="H19" s="11" t="s">
        <v>90</v>
      </c>
      <c r="I19" s="11" t="s">
        <v>61</v>
      </c>
      <c r="J19" s="79" t="s">
        <v>87</v>
      </c>
      <c r="K19" s="79"/>
      <c r="L19" s="79"/>
      <c r="M19" s="79"/>
      <c r="N19" s="80"/>
    </row>
    <row r="20" spans="1:14">
      <c r="A20" s="6" t="s">
        <v>66</v>
      </c>
      <c r="B20" s="3" t="str">
        <f>B2</f>
        <v>Abastecimiento</v>
      </c>
      <c r="C20" s="3" t="s">
        <v>92</v>
      </c>
      <c r="D20" s="3" t="s">
        <v>543</v>
      </c>
      <c r="E20" s="3"/>
      <c r="F20" s="3"/>
      <c r="G20" s="3"/>
      <c r="H20" s="3"/>
      <c r="I20" s="3"/>
      <c r="J20" s="45"/>
      <c r="K20" s="48"/>
      <c r="L20" s="49"/>
      <c r="M20" s="45"/>
      <c r="N20" s="46"/>
    </row>
    <row r="21" spans="1:14">
      <c r="A21" s="6" t="s">
        <v>91</v>
      </c>
      <c r="B21" s="70" t="str">
        <f>B2</f>
        <v>Abastecimiento</v>
      </c>
      <c r="C21" s="3" t="s">
        <v>97</v>
      </c>
      <c r="D21" s="43" t="s">
        <v>544</v>
      </c>
      <c r="E21" s="3" t="s">
        <v>537</v>
      </c>
      <c r="F21" s="3" t="s">
        <v>68</v>
      </c>
      <c r="G21" s="3"/>
      <c r="H21" s="3" t="s">
        <v>94</v>
      </c>
      <c r="I21" s="3" t="s">
        <v>49</v>
      </c>
      <c r="J21" s="45" t="s">
        <v>545</v>
      </c>
      <c r="K21" s="48"/>
      <c r="L21" s="49"/>
      <c r="M21" s="45"/>
      <c r="N21" s="46"/>
    </row>
    <row r="22" spans="1:14">
      <c r="A22" s="6" t="s">
        <v>91</v>
      </c>
      <c r="B22" s="115"/>
      <c r="C22" s="3" t="s">
        <v>97</v>
      </c>
      <c r="D22" s="85"/>
      <c r="E22" s="3" t="s">
        <v>539</v>
      </c>
      <c r="F22" s="3" t="s">
        <v>72</v>
      </c>
      <c r="G22" s="3"/>
      <c r="H22" s="3" t="s">
        <v>94</v>
      </c>
      <c r="I22" s="3" t="s">
        <v>49</v>
      </c>
      <c r="J22" s="45" t="s">
        <v>546</v>
      </c>
      <c r="K22" s="48"/>
      <c r="L22" s="49"/>
      <c r="M22" s="28"/>
      <c r="N22" s="31"/>
    </row>
    <row r="23" spans="1:14">
      <c r="A23" s="6" t="s">
        <v>91</v>
      </c>
      <c r="B23" s="86"/>
      <c r="C23" s="3" t="s">
        <v>97</v>
      </c>
      <c r="D23" s="44"/>
      <c r="E23" s="3" t="s">
        <v>541</v>
      </c>
      <c r="F23" s="3" t="s">
        <v>75</v>
      </c>
      <c r="G23" s="3" t="s">
        <v>76</v>
      </c>
      <c r="H23" s="3" t="s">
        <v>94</v>
      </c>
      <c r="I23" s="3" t="s">
        <v>49</v>
      </c>
      <c r="J23" s="45" t="s">
        <v>547</v>
      </c>
      <c r="K23" s="48"/>
      <c r="L23" s="49"/>
      <c r="M23" s="28"/>
      <c r="N23" s="31"/>
    </row>
    <row r="24" spans="1:14">
      <c r="A24" s="58" t="s">
        <v>101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60"/>
    </row>
    <row r="25" spans="1:14">
      <c r="A25" s="63" t="s">
        <v>58</v>
      </c>
      <c r="B25" s="47" t="s">
        <v>59</v>
      </c>
      <c r="C25" s="47" t="s">
        <v>102</v>
      </c>
      <c r="D25" s="47" t="s">
        <v>103</v>
      </c>
      <c r="E25" s="47" t="s">
        <v>87</v>
      </c>
      <c r="F25" s="47" t="s">
        <v>88</v>
      </c>
      <c r="G25" s="47"/>
      <c r="H25" s="47"/>
      <c r="I25" s="47"/>
      <c r="J25" s="47"/>
      <c r="K25" s="47"/>
      <c r="L25" s="47" t="s">
        <v>104</v>
      </c>
      <c r="M25" s="47"/>
      <c r="N25" s="61" t="s">
        <v>89</v>
      </c>
    </row>
    <row r="26" spans="1:14">
      <c r="A26" s="63"/>
      <c r="B26" s="47"/>
      <c r="C26" s="47"/>
      <c r="D26" s="47"/>
      <c r="E26" s="47"/>
      <c r="F26" s="12" t="s">
        <v>59</v>
      </c>
      <c r="G26" s="12" t="s">
        <v>60</v>
      </c>
      <c r="H26" s="12" t="s">
        <v>65</v>
      </c>
      <c r="I26" s="12" t="s">
        <v>90</v>
      </c>
      <c r="J26" s="12" t="s">
        <v>61</v>
      </c>
      <c r="K26" s="12" t="s">
        <v>87</v>
      </c>
      <c r="L26" s="12" t="s">
        <v>60</v>
      </c>
      <c r="M26" s="12" t="s">
        <v>65</v>
      </c>
      <c r="N26" s="61"/>
    </row>
    <row r="27" spans="1:14">
      <c r="A27" s="6" t="s">
        <v>91</v>
      </c>
      <c r="B27" s="3" t="s">
        <v>548</v>
      </c>
      <c r="C27" s="3" t="s">
        <v>106</v>
      </c>
      <c r="D27" s="3" t="s">
        <v>49</v>
      </c>
      <c r="E27" s="3" t="s">
        <v>549</v>
      </c>
      <c r="F27" s="3"/>
      <c r="G27" s="3"/>
      <c r="H27" s="3"/>
      <c r="I27" s="3"/>
      <c r="J27" s="3"/>
      <c r="K27" s="3"/>
      <c r="L27" s="3" t="s">
        <v>68</v>
      </c>
      <c r="M27" s="3"/>
      <c r="N27" s="7"/>
    </row>
    <row r="28" spans="1:14">
      <c r="A28" s="6" t="s">
        <v>91</v>
      </c>
      <c r="B28" s="3" t="s">
        <v>550</v>
      </c>
      <c r="C28" s="3" t="s">
        <v>112</v>
      </c>
      <c r="D28" s="3" t="s">
        <v>49</v>
      </c>
      <c r="E28" s="3" t="s">
        <v>551</v>
      </c>
      <c r="F28" s="3" t="s">
        <v>537</v>
      </c>
      <c r="G28" s="3" t="s">
        <v>68</v>
      </c>
      <c r="H28" s="3"/>
      <c r="I28" s="3" t="s">
        <v>94</v>
      </c>
      <c r="J28" s="3" t="s">
        <v>49</v>
      </c>
      <c r="K28" s="3" t="s">
        <v>552</v>
      </c>
      <c r="L28" s="3"/>
      <c r="M28" s="3"/>
      <c r="N28" s="7"/>
    </row>
    <row r="29" spans="1:14">
      <c r="A29" s="6" t="s">
        <v>91</v>
      </c>
      <c r="B29" s="3" t="s">
        <v>553</v>
      </c>
      <c r="C29" s="3" t="s">
        <v>106</v>
      </c>
      <c r="D29" s="3" t="s">
        <v>49</v>
      </c>
      <c r="E29" s="3" t="s">
        <v>554</v>
      </c>
      <c r="F29" s="3"/>
      <c r="G29" s="3"/>
      <c r="H29" s="3"/>
      <c r="I29" s="3"/>
      <c r="J29" s="3"/>
      <c r="K29" s="3"/>
      <c r="L29" s="3" t="s">
        <v>72</v>
      </c>
      <c r="M29" s="3"/>
      <c r="N29" s="7"/>
    </row>
    <row r="30" spans="1:14">
      <c r="A30" s="6" t="s">
        <v>91</v>
      </c>
      <c r="B30" s="3" t="s">
        <v>555</v>
      </c>
      <c r="C30" s="3" t="s">
        <v>112</v>
      </c>
      <c r="D30" s="3" t="s">
        <v>49</v>
      </c>
      <c r="E30" s="3" t="s">
        <v>556</v>
      </c>
      <c r="F30" s="3" t="s">
        <v>539</v>
      </c>
      <c r="G30" s="3" t="s">
        <v>75</v>
      </c>
      <c r="H30" s="3" t="s">
        <v>76</v>
      </c>
      <c r="I30" s="3" t="s">
        <v>94</v>
      </c>
      <c r="J30" s="3" t="s">
        <v>49</v>
      </c>
      <c r="K30" s="3" t="s">
        <v>557</v>
      </c>
      <c r="L30" s="3"/>
      <c r="M30" s="3"/>
      <c r="N30" s="7"/>
    </row>
    <row r="31" spans="1:14">
      <c r="A31" s="6" t="s">
        <v>91</v>
      </c>
      <c r="B31" s="3" t="s">
        <v>558</v>
      </c>
      <c r="C31" s="3" t="s">
        <v>106</v>
      </c>
      <c r="D31" s="3" t="s">
        <v>49</v>
      </c>
      <c r="E31" s="3" t="s">
        <v>559</v>
      </c>
      <c r="F31" s="3"/>
      <c r="G31" s="3"/>
      <c r="H31" s="3"/>
      <c r="I31" s="3"/>
      <c r="J31" s="3"/>
      <c r="K31" s="3"/>
      <c r="L31" s="3" t="s">
        <v>75</v>
      </c>
      <c r="M31" s="3" t="s">
        <v>76</v>
      </c>
      <c r="N31" s="7"/>
    </row>
    <row r="32" spans="1:14">
      <c r="A32" s="6" t="s">
        <v>91</v>
      </c>
      <c r="B32" s="3" t="s">
        <v>560</v>
      </c>
      <c r="C32" s="3" t="s">
        <v>112</v>
      </c>
      <c r="D32" s="3" t="s">
        <v>49</v>
      </c>
      <c r="E32" s="3" t="s">
        <v>561</v>
      </c>
      <c r="F32" s="3" t="s">
        <v>541</v>
      </c>
      <c r="G32" s="3" t="s">
        <v>75</v>
      </c>
      <c r="H32" s="3" t="s">
        <v>76</v>
      </c>
      <c r="I32" s="3" t="s">
        <v>94</v>
      </c>
      <c r="J32" s="3" t="s">
        <v>49</v>
      </c>
      <c r="K32" s="3" t="s">
        <v>562</v>
      </c>
      <c r="L32" s="3"/>
      <c r="M32" s="3"/>
      <c r="N32" s="7"/>
    </row>
    <row r="33" spans="1:14">
      <c r="A33" s="123" t="s">
        <v>118</v>
      </c>
      <c r="B33" s="124"/>
      <c r="C33" s="124"/>
      <c r="D33" s="124"/>
      <c r="E33" s="124"/>
      <c r="F33" s="124"/>
      <c r="G33" s="124"/>
      <c r="H33" s="124"/>
      <c r="I33" s="124"/>
      <c r="J33" s="124"/>
      <c r="K33" s="124"/>
      <c r="L33" s="124"/>
      <c r="M33" s="124"/>
      <c r="N33" s="125"/>
    </row>
    <row r="34" spans="1:14">
      <c r="A34" s="126" t="s">
        <v>58</v>
      </c>
      <c r="B34" s="128" t="s">
        <v>59</v>
      </c>
      <c r="C34" s="128" t="s">
        <v>119</v>
      </c>
      <c r="D34" s="128" t="s">
        <v>103</v>
      </c>
      <c r="E34" s="128" t="s">
        <v>87</v>
      </c>
      <c r="F34" s="119" t="s">
        <v>88</v>
      </c>
      <c r="G34" s="130"/>
      <c r="H34" s="130"/>
      <c r="I34" s="130"/>
      <c r="J34" s="130"/>
      <c r="K34" s="120"/>
      <c r="L34" s="119" t="s">
        <v>104</v>
      </c>
      <c r="M34" s="120"/>
      <c r="N34" s="121" t="s">
        <v>89</v>
      </c>
    </row>
    <row r="35" spans="1:14">
      <c r="A35" s="127"/>
      <c r="B35" s="129"/>
      <c r="C35" s="129"/>
      <c r="D35" s="129"/>
      <c r="E35" s="129"/>
      <c r="F35" s="13" t="s">
        <v>59</v>
      </c>
      <c r="G35" s="13" t="s">
        <v>60</v>
      </c>
      <c r="H35" s="13" t="s">
        <v>65</v>
      </c>
      <c r="I35" s="13" t="s">
        <v>90</v>
      </c>
      <c r="J35" s="13" t="s">
        <v>61</v>
      </c>
      <c r="K35" s="13" t="s">
        <v>87</v>
      </c>
      <c r="L35" s="13" t="s">
        <v>60</v>
      </c>
      <c r="M35" s="13" t="s">
        <v>65</v>
      </c>
      <c r="N35" s="122"/>
    </row>
    <row r="36" spans="1:14">
      <c r="A36" s="6" t="s">
        <v>91</v>
      </c>
      <c r="B36" s="3" t="s">
        <v>563</v>
      </c>
      <c r="C36" s="3" t="s">
        <v>69</v>
      </c>
      <c r="D36" s="3" t="s">
        <v>49</v>
      </c>
      <c r="E36" s="3" t="s">
        <v>564</v>
      </c>
      <c r="F36" s="3" t="s">
        <v>565</v>
      </c>
      <c r="G36" s="3" t="s">
        <v>75</v>
      </c>
      <c r="H36" s="3" t="s">
        <v>37</v>
      </c>
      <c r="I36" s="3" t="s">
        <v>94</v>
      </c>
      <c r="J36" s="3" t="s">
        <v>49</v>
      </c>
      <c r="K36" s="3" t="s">
        <v>566</v>
      </c>
      <c r="L36" s="15"/>
      <c r="M36" s="3"/>
      <c r="N36" s="7" t="s">
        <v>349</v>
      </c>
    </row>
    <row r="37" spans="1:14">
      <c r="A37" s="14" t="s">
        <v>91</v>
      </c>
      <c r="B37" s="15" t="s">
        <v>343</v>
      </c>
      <c r="C37" s="15" t="s">
        <v>69</v>
      </c>
      <c r="D37" s="15" t="s">
        <v>49</v>
      </c>
      <c r="E37" s="15" t="s">
        <v>567</v>
      </c>
      <c r="F37" s="15"/>
      <c r="G37" s="15"/>
      <c r="H37" s="15"/>
      <c r="I37" s="15"/>
      <c r="J37" s="15"/>
      <c r="K37" s="15"/>
      <c r="L37" s="15" t="s">
        <v>75</v>
      </c>
      <c r="M37" s="3" t="s">
        <v>76</v>
      </c>
      <c r="N37" s="8"/>
    </row>
  </sheetData>
  <mergeCells count="58">
    <mergeCell ref="B21:B23"/>
    <mergeCell ref="D21:D23"/>
    <mergeCell ref="J23:L23"/>
    <mergeCell ref="J22:L22"/>
    <mergeCell ref="G15:I15"/>
    <mergeCell ref="B6:E6"/>
    <mergeCell ref="A1:E1"/>
    <mergeCell ref="B2:E2"/>
    <mergeCell ref="B3:E3"/>
    <mergeCell ref="B4:E4"/>
    <mergeCell ref="B5:E5"/>
    <mergeCell ref="B9:D9"/>
    <mergeCell ref="M21:N21"/>
    <mergeCell ref="G16:I16"/>
    <mergeCell ref="J16:N16"/>
    <mergeCell ref="A7:E7"/>
    <mergeCell ref="B8:D8"/>
    <mergeCell ref="B10:D10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C25:C26"/>
    <mergeCell ref="J15:N15"/>
    <mergeCell ref="E25:E26"/>
    <mergeCell ref="A17:N17"/>
    <mergeCell ref="A18:A19"/>
    <mergeCell ref="B18:B19"/>
    <mergeCell ref="C18:C19"/>
    <mergeCell ref="D18:D19"/>
    <mergeCell ref="E18:L18"/>
    <mergeCell ref="M18:N19"/>
    <mergeCell ref="J19:L19"/>
    <mergeCell ref="J20:L20"/>
    <mergeCell ref="M20:N20"/>
    <mergeCell ref="J21:L21"/>
    <mergeCell ref="D25:D26"/>
    <mergeCell ref="A24:N24"/>
    <mergeCell ref="L34:M34"/>
    <mergeCell ref="N34:N35"/>
    <mergeCell ref="F25:K25"/>
    <mergeCell ref="L25:M25"/>
    <mergeCell ref="N25:N26"/>
    <mergeCell ref="A33:N33"/>
    <mergeCell ref="A34:A35"/>
    <mergeCell ref="B34:B35"/>
    <mergeCell ref="C34:C35"/>
    <mergeCell ref="D34:D35"/>
    <mergeCell ref="E34:E35"/>
    <mergeCell ref="F34:K34"/>
    <mergeCell ref="A25:A26"/>
    <mergeCell ref="B25:B26"/>
  </mergeCells>
  <hyperlinks>
    <hyperlink ref="A1:E1" location="Clases!A1" display="&lt;-Volver al inicio" xr:uid="{FB94CD6B-CF18-48C6-B344-F14537D8071B}"/>
    <hyperlink ref="E10" location="'DetalleAbastecimiento'!B2" display="DetalleAbastecimiento" xr:uid="{2F3F9C72-F752-49DA-B401-0C1EEA36BAE6}"/>
    <hyperlink ref="E9" location="'Proveedor'!B2" display="Proveedor" xr:uid="{A779F0B7-2D33-4BD0-8BF3-2635DE14B62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F52D7113-6C22-4374-8DA9-CB339B5D278B}">
          <x14:formula1>
            <xm:f>Valores!$D$2:$D$3</xm:f>
          </x14:formula1>
          <xm:sqref>B5</xm:sqref>
        </x14:dataValidation>
        <x14:dataValidation type="list" allowBlank="1" showInputMessage="1" showErrorMessage="1" xr:uid="{C03BDDC1-8160-4AB4-A2DB-FF96B1E890C1}">
          <x14:formula1>
            <xm:f>Valores!$E$2:$E$3</xm:f>
          </x14:formula1>
          <xm:sqref>B6 E14:E16 I20:I23 J27:J32 D27:D32 D36:D37 J36:J37</xm:sqref>
        </x14:dataValidation>
        <x14:dataValidation type="list" allowBlank="1" showInputMessage="1" showErrorMessage="1" xr:uid="{1C9E45DF-27F1-4341-9542-B10945B1A955}">
          <x14:formula1>
            <xm:f>Valores!$F$2:$F$5</xm:f>
          </x14:formula1>
          <xm:sqref>A14:A16 A27:A32 A20:A23 A36:A37</xm:sqref>
        </x14:dataValidation>
        <x14:dataValidation type="list" allowBlank="1" showInputMessage="1" showErrorMessage="1" xr:uid="{D1747676-4032-4967-B943-73CF881494DC}">
          <x14:formula1>
            <xm:f>Valores!$G$2:$G$12</xm:f>
          </x14:formula1>
          <xm:sqref>C14:C16 F20:F23 G27:G32 L27:L32 L36:L37 G36:G37</xm:sqref>
        </x14:dataValidation>
        <x14:dataValidation type="list" allowBlank="1" showInputMessage="1" showErrorMessage="1" xr:uid="{24471116-CE6F-4D81-ADCD-53F2A3063C65}">
          <x14:formula1>
            <xm:f>Valores!$H$2:$H$3</xm:f>
          </x14:formula1>
          <xm:sqref>F14:F16 C36:C37</xm:sqref>
        </x14:dataValidation>
        <x14:dataValidation type="list" allowBlank="1" showInputMessage="1" showErrorMessage="1" xr:uid="{510A9305-0276-473E-92B1-73831F35F4B8}">
          <x14:formula1>
            <xm:f>Valores!$I$2:$I$3</xm:f>
          </x14:formula1>
          <xm:sqref>C20:C23</xm:sqref>
        </x14:dataValidation>
        <x14:dataValidation type="list" allowBlank="1" showInputMessage="1" showErrorMessage="1" xr:uid="{2F0CE920-4F97-438D-898F-F8989F1950BC}">
          <x14:formula1>
            <xm:f>Valores!$J$2:$J$3</xm:f>
          </x14:formula1>
          <xm:sqref>I27:I32 H20:H23 I36:I37</xm:sqref>
        </x14:dataValidation>
        <x14:dataValidation type="list" allowBlank="1" showInputMessage="1" showErrorMessage="1" xr:uid="{5835A0F7-B805-4A76-8436-0BC59B165BBC}">
          <x14:formula1>
            <xm:f>Valores!$K$2:$K$3</xm:f>
          </x14:formula1>
          <xm:sqref>C27:C32</xm:sqref>
        </x14:dataValidation>
        <x14:dataValidation type="list" allowBlank="1" showInputMessage="1" showErrorMessage="1" xr:uid="{7BCEC0C2-5BEC-41BC-9772-9C765E3C4323}">
          <x14:formula1>
            <xm:f>Valores!$B$2:$B$3</xm:f>
          </x14:formula1>
          <xm:sqref>A9:A10</xm:sqref>
        </x14:dataValidation>
        <x14:dataValidation type="list" allowBlank="1" showInputMessage="1" showErrorMessage="1" xr:uid="{85D5C7A6-46C2-4CC0-8057-C5D13F8BD6D0}">
          <x14:formula1>
            <xm:f>Valores!$C$2:$C$7</xm:f>
          </x14:formula1>
          <xm:sqref>B9:B10</xm:sqref>
        </x14:dataValidation>
        <x14:dataValidation type="list" allowBlank="1" showInputMessage="1" showErrorMessage="1" xr:uid="{ABC250FB-C96A-490B-84B3-00BF08E9A799}">
          <x14:formula1>
            <xm:f>Clases!$A$2:$A$21</xm:f>
          </x14:formula1>
          <xm:sqref>E9:E10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DF722-67AA-4F51-8433-D87D5CA59C53}">
  <dimension ref="A1:N31"/>
  <sheetViews>
    <sheetView zoomScale="55" zoomScaleNormal="55" workbookViewId="0">
      <pane ySplit="1" topLeftCell="A2" activePane="bottomLeft" state="frozen"/>
      <selection pane="bottomLeft" activeCell="B20" sqref="B20"/>
    </sheetView>
  </sheetViews>
  <sheetFormatPr defaultColWidth="19.7109375" defaultRowHeight="15"/>
  <cols>
    <col min="1" max="1" width="28.7109375" style="1" customWidth="1"/>
    <col min="2" max="2" width="27.140625" style="1" customWidth="1"/>
    <col min="3" max="3" width="27.140625" style="1" bestFit="1" customWidth="1"/>
    <col min="4" max="4" width="102.1406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64.2851562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Clases!A20</f>
        <v>Proveedor</v>
      </c>
      <c r="C2" s="77"/>
      <c r="D2" s="77"/>
      <c r="E2" s="78"/>
    </row>
    <row r="3" spans="1:14">
      <c r="A3" s="17" t="str">
        <f>Clases!$B$1</f>
        <v>Estereotipo</v>
      </c>
      <c r="B3" s="64" t="str">
        <f>Clases!B20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Clases!C20</f>
        <v>Clase que representa un proveedor de insumos del sistema, incluyendo su información de contacto y ubicación.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131" t="s">
        <v>52</v>
      </c>
      <c r="C8" s="132"/>
      <c r="D8" s="133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56</v>
      </c>
      <c r="B9" s="134" t="s">
        <v>55</v>
      </c>
      <c r="C9" s="135"/>
      <c r="D9" s="136"/>
      <c r="E9" s="35" t="s">
        <v>39</v>
      </c>
    </row>
    <row r="10" spans="1:14">
      <c r="A10" s="66" t="s">
        <v>57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8"/>
    </row>
    <row r="11" spans="1:14">
      <c r="A11" s="73" t="s">
        <v>58</v>
      </c>
      <c r="B11" s="71" t="s">
        <v>59</v>
      </c>
      <c r="C11" s="71" t="s">
        <v>60</v>
      </c>
      <c r="D11" s="71"/>
      <c r="E11" s="71" t="s">
        <v>61</v>
      </c>
      <c r="F11" s="71" t="s">
        <v>62</v>
      </c>
      <c r="G11" s="71" t="s">
        <v>63</v>
      </c>
      <c r="H11" s="71"/>
      <c r="I11" s="71"/>
      <c r="J11" s="71" t="s">
        <v>64</v>
      </c>
      <c r="K11" s="71"/>
      <c r="L11" s="71"/>
      <c r="M11" s="71"/>
      <c r="N11" s="72"/>
    </row>
    <row r="12" spans="1:14">
      <c r="A12" s="73"/>
      <c r="B12" s="71"/>
      <c r="C12" s="10" t="s">
        <v>60</v>
      </c>
      <c r="D12" s="10" t="s">
        <v>65</v>
      </c>
      <c r="E12" s="71"/>
      <c r="F12" s="71"/>
      <c r="G12" s="71"/>
      <c r="H12" s="71"/>
      <c r="I12" s="71"/>
      <c r="J12" s="71"/>
      <c r="K12" s="71"/>
      <c r="L12" s="71"/>
      <c r="M12" s="71"/>
      <c r="N12" s="72"/>
    </row>
    <row r="13" spans="1:14">
      <c r="A13" s="6" t="s">
        <v>66</v>
      </c>
      <c r="B13" s="3" t="s">
        <v>133</v>
      </c>
      <c r="C13" s="3" t="s">
        <v>68</v>
      </c>
      <c r="D13" s="3"/>
      <c r="E13" s="3" t="s">
        <v>49</v>
      </c>
      <c r="F13" s="3" t="s">
        <v>69</v>
      </c>
      <c r="G13" s="64"/>
      <c r="H13" s="64"/>
      <c r="I13" s="64"/>
      <c r="J13" s="64" t="s">
        <v>568</v>
      </c>
      <c r="K13" s="64"/>
      <c r="L13" s="64"/>
      <c r="M13" s="64"/>
      <c r="N13" s="65"/>
    </row>
    <row r="14" spans="1:14">
      <c r="A14" s="6" t="s">
        <v>66</v>
      </c>
      <c r="B14" s="3" t="s">
        <v>569</v>
      </c>
      <c r="C14" s="3" t="s">
        <v>72</v>
      </c>
      <c r="D14" s="3"/>
      <c r="E14" s="3" t="s">
        <v>49</v>
      </c>
      <c r="F14" s="3" t="s">
        <v>69</v>
      </c>
      <c r="G14" s="64"/>
      <c r="H14" s="64"/>
      <c r="I14" s="64"/>
      <c r="J14" s="64" t="s">
        <v>570</v>
      </c>
      <c r="K14" s="64"/>
      <c r="L14" s="64"/>
      <c r="M14" s="64"/>
      <c r="N14" s="65"/>
    </row>
    <row r="15" spans="1:14">
      <c r="A15" s="81" t="s">
        <v>85</v>
      </c>
      <c r="B15" s="82"/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3"/>
    </row>
    <row r="16" spans="1:14">
      <c r="A16" s="84" t="s">
        <v>58</v>
      </c>
      <c r="B16" s="79" t="s">
        <v>59</v>
      </c>
      <c r="C16" s="79" t="s">
        <v>86</v>
      </c>
      <c r="D16" s="79" t="s">
        <v>87</v>
      </c>
      <c r="E16" s="79" t="s">
        <v>88</v>
      </c>
      <c r="F16" s="79"/>
      <c r="G16" s="79"/>
      <c r="H16" s="79"/>
      <c r="I16" s="79"/>
      <c r="J16" s="79"/>
      <c r="K16" s="79"/>
      <c r="L16" s="79"/>
      <c r="M16" s="79" t="s">
        <v>89</v>
      </c>
      <c r="N16" s="80"/>
    </row>
    <row r="17" spans="1:14">
      <c r="A17" s="84"/>
      <c r="B17" s="79"/>
      <c r="C17" s="79"/>
      <c r="D17" s="79"/>
      <c r="E17" s="11" t="s">
        <v>59</v>
      </c>
      <c r="F17" s="11" t="s">
        <v>60</v>
      </c>
      <c r="G17" s="11" t="s">
        <v>65</v>
      </c>
      <c r="H17" s="11" t="s">
        <v>90</v>
      </c>
      <c r="I17" s="11" t="s">
        <v>61</v>
      </c>
      <c r="J17" s="79" t="s">
        <v>87</v>
      </c>
      <c r="K17" s="79"/>
      <c r="L17" s="79"/>
      <c r="M17" s="79"/>
      <c r="N17" s="80"/>
    </row>
    <row r="18" spans="1:14">
      <c r="A18" s="6" t="s">
        <v>66</v>
      </c>
      <c r="B18" s="3" t="str">
        <f>B2</f>
        <v>Proveedor</v>
      </c>
      <c r="C18" s="3" t="s">
        <v>92</v>
      </c>
      <c r="D18" s="3" t="s">
        <v>571</v>
      </c>
      <c r="E18" s="3"/>
      <c r="F18" s="3"/>
      <c r="G18" s="3"/>
      <c r="H18" s="3"/>
      <c r="I18" s="3"/>
      <c r="J18" s="45"/>
      <c r="K18" s="48"/>
      <c r="L18" s="49"/>
      <c r="M18" s="45"/>
      <c r="N18" s="46"/>
    </row>
    <row r="19" spans="1:14">
      <c r="A19" s="6" t="s">
        <v>91</v>
      </c>
      <c r="B19" s="43" t="str">
        <f>B2</f>
        <v>Proveedor</v>
      </c>
      <c r="C19" s="3" t="s">
        <v>97</v>
      </c>
      <c r="D19" s="43" t="s">
        <v>572</v>
      </c>
      <c r="E19" s="3" t="s">
        <v>133</v>
      </c>
      <c r="F19" s="3" t="s">
        <v>68</v>
      </c>
      <c r="G19" s="3"/>
      <c r="H19" s="3" t="s">
        <v>94</v>
      </c>
      <c r="I19" s="3" t="s">
        <v>49</v>
      </c>
      <c r="J19" s="45" t="s">
        <v>573</v>
      </c>
      <c r="K19" s="48"/>
      <c r="L19" s="49"/>
      <c r="M19" s="45"/>
      <c r="N19" s="46"/>
    </row>
    <row r="20" spans="1:14">
      <c r="A20" s="6" t="s">
        <v>91</v>
      </c>
      <c r="B20" s="44"/>
      <c r="C20" s="3" t="s">
        <v>97</v>
      </c>
      <c r="D20" s="44"/>
      <c r="E20" s="3" t="s">
        <v>569</v>
      </c>
      <c r="F20" s="3" t="s">
        <v>72</v>
      </c>
      <c r="G20" s="3"/>
      <c r="H20" s="3" t="s">
        <v>94</v>
      </c>
      <c r="I20" s="3" t="s">
        <v>49</v>
      </c>
      <c r="J20" s="45" t="s">
        <v>574</v>
      </c>
      <c r="K20" s="48"/>
      <c r="L20" s="49"/>
      <c r="M20" s="28"/>
      <c r="N20" s="31"/>
    </row>
    <row r="21" spans="1:14">
      <c r="A21" s="58" t="s">
        <v>101</v>
      </c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60"/>
    </row>
    <row r="22" spans="1:14">
      <c r="A22" s="63" t="s">
        <v>58</v>
      </c>
      <c r="B22" s="47" t="s">
        <v>59</v>
      </c>
      <c r="C22" s="47" t="s">
        <v>102</v>
      </c>
      <c r="D22" s="47" t="s">
        <v>103</v>
      </c>
      <c r="E22" s="47" t="s">
        <v>87</v>
      </c>
      <c r="F22" s="47" t="s">
        <v>88</v>
      </c>
      <c r="G22" s="47"/>
      <c r="H22" s="47"/>
      <c r="I22" s="47"/>
      <c r="J22" s="47"/>
      <c r="K22" s="47"/>
      <c r="L22" s="47" t="s">
        <v>104</v>
      </c>
      <c r="M22" s="47"/>
      <c r="N22" s="61" t="s">
        <v>89</v>
      </c>
    </row>
    <row r="23" spans="1:14">
      <c r="A23" s="63"/>
      <c r="B23" s="47"/>
      <c r="C23" s="47"/>
      <c r="D23" s="47"/>
      <c r="E23" s="47"/>
      <c r="F23" s="12" t="s">
        <v>59</v>
      </c>
      <c r="G23" s="12" t="s">
        <v>60</v>
      </c>
      <c r="H23" s="12" t="s">
        <v>65</v>
      </c>
      <c r="I23" s="12" t="s">
        <v>90</v>
      </c>
      <c r="J23" s="12" t="s">
        <v>61</v>
      </c>
      <c r="K23" s="12" t="s">
        <v>87</v>
      </c>
      <c r="L23" s="12" t="s">
        <v>60</v>
      </c>
      <c r="M23" s="12" t="s">
        <v>65</v>
      </c>
      <c r="N23" s="61"/>
    </row>
    <row r="24" spans="1:14">
      <c r="A24" s="6" t="s">
        <v>91</v>
      </c>
      <c r="B24" s="3" t="s">
        <v>140</v>
      </c>
      <c r="C24" s="3" t="s">
        <v>106</v>
      </c>
      <c r="D24" s="3" t="s">
        <v>49</v>
      </c>
      <c r="E24" s="3" t="s">
        <v>141</v>
      </c>
      <c r="F24" s="3"/>
      <c r="G24" s="3"/>
      <c r="H24" s="3"/>
      <c r="I24" s="3"/>
      <c r="J24" s="3"/>
      <c r="K24" s="3"/>
      <c r="L24" s="3" t="s">
        <v>68</v>
      </c>
      <c r="M24" s="3"/>
      <c r="N24" s="7"/>
    </row>
    <row r="25" spans="1:14">
      <c r="A25" s="6" t="s">
        <v>91</v>
      </c>
      <c r="B25" s="3" t="s">
        <v>162</v>
      </c>
      <c r="C25" s="3" t="s">
        <v>112</v>
      </c>
      <c r="D25" s="3" t="s">
        <v>49</v>
      </c>
      <c r="E25" s="3" t="s">
        <v>163</v>
      </c>
      <c r="F25" s="3" t="s">
        <v>133</v>
      </c>
      <c r="G25" s="3" t="s">
        <v>68</v>
      </c>
      <c r="H25" s="3"/>
      <c r="I25" s="3" t="s">
        <v>94</v>
      </c>
      <c r="J25" s="3" t="s">
        <v>49</v>
      </c>
      <c r="K25" s="3" t="s">
        <v>151</v>
      </c>
      <c r="L25" s="3"/>
      <c r="M25" s="3"/>
      <c r="N25" s="7"/>
    </row>
    <row r="26" spans="1:14">
      <c r="A26" s="6" t="s">
        <v>91</v>
      </c>
      <c r="B26" s="3" t="s">
        <v>575</v>
      </c>
      <c r="C26" s="3" t="s">
        <v>106</v>
      </c>
      <c r="D26" s="3" t="s">
        <v>49</v>
      </c>
      <c r="E26" s="3" t="s">
        <v>576</v>
      </c>
      <c r="F26" s="3"/>
      <c r="G26" s="3"/>
      <c r="H26" s="3"/>
      <c r="I26" s="3"/>
      <c r="J26" s="3"/>
      <c r="K26" s="3"/>
      <c r="L26" s="3" t="s">
        <v>72</v>
      </c>
      <c r="M26" s="3"/>
      <c r="N26" s="7"/>
    </row>
    <row r="27" spans="1:14">
      <c r="A27" s="6" t="s">
        <v>91</v>
      </c>
      <c r="B27" s="3" t="s">
        <v>577</v>
      </c>
      <c r="C27" s="3" t="s">
        <v>112</v>
      </c>
      <c r="D27" s="3" t="s">
        <v>49</v>
      </c>
      <c r="E27" s="3" t="s">
        <v>578</v>
      </c>
      <c r="F27" s="3" t="s">
        <v>569</v>
      </c>
      <c r="G27" s="3" t="s">
        <v>72</v>
      </c>
      <c r="H27" s="3"/>
      <c r="I27" s="42" t="s">
        <v>94</v>
      </c>
      <c r="J27" s="3" t="s">
        <v>49</v>
      </c>
      <c r="K27" s="3" t="s">
        <v>579</v>
      </c>
      <c r="L27" s="3"/>
      <c r="M27" s="3"/>
      <c r="N27" s="7"/>
    </row>
    <row r="28" spans="1:14">
      <c r="A28" s="54" t="s">
        <v>118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6"/>
    </row>
    <row r="29" spans="1:14">
      <c r="A29" s="62" t="s">
        <v>58</v>
      </c>
      <c r="B29" s="53" t="s">
        <v>59</v>
      </c>
      <c r="C29" s="53" t="s">
        <v>119</v>
      </c>
      <c r="D29" s="53" t="s">
        <v>103</v>
      </c>
      <c r="E29" s="53" t="s">
        <v>87</v>
      </c>
      <c r="F29" s="53" t="s">
        <v>88</v>
      </c>
      <c r="G29" s="53"/>
      <c r="H29" s="53"/>
      <c r="I29" s="53"/>
      <c r="J29" s="53"/>
      <c r="K29" s="53"/>
      <c r="L29" s="53" t="s">
        <v>104</v>
      </c>
      <c r="M29" s="53"/>
      <c r="N29" s="57" t="s">
        <v>89</v>
      </c>
    </row>
    <row r="30" spans="1:14">
      <c r="A30" s="62"/>
      <c r="B30" s="53"/>
      <c r="C30" s="53"/>
      <c r="D30" s="53"/>
      <c r="E30" s="53"/>
      <c r="F30" s="13" t="s">
        <v>59</v>
      </c>
      <c r="G30" s="13" t="s">
        <v>60</v>
      </c>
      <c r="H30" s="13" t="s">
        <v>65</v>
      </c>
      <c r="I30" s="13" t="s">
        <v>90</v>
      </c>
      <c r="J30" s="13" t="s">
        <v>61</v>
      </c>
      <c r="K30" s="13" t="s">
        <v>87</v>
      </c>
      <c r="L30" s="13" t="s">
        <v>60</v>
      </c>
      <c r="M30" s="13" t="s">
        <v>65</v>
      </c>
      <c r="N30" s="57"/>
    </row>
    <row r="31" spans="1:14">
      <c r="A31" s="6" t="s">
        <v>91</v>
      </c>
      <c r="B31" s="3" t="s">
        <v>580</v>
      </c>
      <c r="C31" s="3" t="s">
        <v>69</v>
      </c>
      <c r="D31" s="3" t="s">
        <v>49</v>
      </c>
      <c r="E31" s="3" t="s">
        <v>581</v>
      </c>
      <c r="F31" s="3"/>
      <c r="G31" s="3"/>
      <c r="H31" s="3"/>
      <c r="I31" s="3"/>
      <c r="J31" s="3"/>
      <c r="K31" s="3"/>
      <c r="L31" s="3" t="s">
        <v>195</v>
      </c>
      <c r="M31" s="3"/>
      <c r="N31" s="7"/>
    </row>
  </sheetData>
  <mergeCells count="54">
    <mergeCell ref="B19:B20"/>
    <mergeCell ref="D19:D20"/>
    <mergeCell ref="J20:L20"/>
    <mergeCell ref="G14:I14"/>
    <mergeCell ref="B6:E6"/>
    <mergeCell ref="G13:I13"/>
    <mergeCell ref="J13:N13"/>
    <mergeCell ref="A1:E1"/>
    <mergeCell ref="B2:E2"/>
    <mergeCell ref="B3:E3"/>
    <mergeCell ref="B4:E4"/>
    <mergeCell ref="B5:E5"/>
    <mergeCell ref="A7:E7"/>
    <mergeCell ref="B8:D8"/>
    <mergeCell ref="B9:D9"/>
    <mergeCell ref="A10:N10"/>
    <mergeCell ref="A11:A12"/>
    <mergeCell ref="B11:B12"/>
    <mergeCell ref="C11:D11"/>
    <mergeCell ref="E11:E12"/>
    <mergeCell ref="F11:F12"/>
    <mergeCell ref="G11:I12"/>
    <mergeCell ref="J11:N12"/>
    <mergeCell ref="J14:N14"/>
    <mergeCell ref="E22:E23"/>
    <mergeCell ref="A15:N15"/>
    <mergeCell ref="A16:A17"/>
    <mergeCell ref="B16:B17"/>
    <mergeCell ref="C16:C17"/>
    <mergeCell ref="D16:D17"/>
    <mergeCell ref="E16:L16"/>
    <mergeCell ref="M16:N17"/>
    <mergeCell ref="J17:L17"/>
    <mergeCell ref="J18:L18"/>
    <mergeCell ref="M18:N18"/>
    <mergeCell ref="J19:L19"/>
    <mergeCell ref="D22:D23"/>
    <mergeCell ref="A21:N21"/>
    <mergeCell ref="M19:N19"/>
    <mergeCell ref="L29:M29"/>
    <mergeCell ref="N29:N30"/>
    <mergeCell ref="F22:K22"/>
    <mergeCell ref="L22:M22"/>
    <mergeCell ref="N22:N23"/>
    <mergeCell ref="A28:N28"/>
    <mergeCell ref="A29:A30"/>
    <mergeCell ref="B29:B30"/>
    <mergeCell ref="C29:C30"/>
    <mergeCell ref="D29:D30"/>
    <mergeCell ref="E29:E30"/>
    <mergeCell ref="F29:K29"/>
    <mergeCell ref="A22:A23"/>
    <mergeCell ref="B22:B23"/>
    <mergeCell ref="C22:C23"/>
  </mergeCells>
  <hyperlinks>
    <hyperlink ref="A1:E1" location="Clases!A1" display="&lt;-Volver al inicio" xr:uid="{ADAEE513-6211-4B0F-83F9-C28C1576E5AF}"/>
    <hyperlink ref="E9" location="'Abastecimiento'!B2" display="Abastecimiento" xr:uid="{153B99B1-D5F8-4E49-A557-DBDB990F2478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F21EE454-095F-4294-8052-529BEB9BBE15}">
          <x14:formula1>
            <xm:f>Valores!$C$2:$C$7</xm:f>
          </x14:formula1>
          <xm:sqref>B9</xm:sqref>
        </x14:dataValidation>
        <x14:dataValidation type="list" allowBlank="1" showInputMessage="1" showErrorMessage="1" xr:uid="{50E84623-47F9-4B2C-B749-E95398BA194A}">
          <x14:formula1>
            <xm:f>Valores!$B$2:$B$3</xm:f>
          </x14:formula1>
          <xm:sqref>A9</xm:sqref>
        </x14:dataValidation>
        <x14:dataValidation type="list" allowBlank="1" showInputMessage="1" showErrorMessage="1" xr:uid="{61BE7E25-6678-46CD-A7E6-ECAD3D890284}">
          <x14:formula1>
            <xm:f>Valores!$L$2:$L$13</xm:f>
          </x14:formula1>
          <xm:sqref>L31</xm:sqref>
        </x14:dataValidation>
        <x14:dataValidation type="list" allowBlank="1" showInputMessage="1" showErrorMessage="1" xr:uid="{A6018999-AA0F-4C43-B342-1B48C7B7156A}">
          <x14:formula1>
            <xm:f>Valores!$K$2:$K$3</xm:f>
          </x14:formula1>
          <xm:sqref>C24:C27</xm:sqref>
        </x14:dataValidation>
        <x14:dataValidation type="list" allowBlank="1" showInputMessage="1" showErrorMessage="1" xr:uid="{A27553BA-2C99-4B85-B62C-778F9D4E4E1C}">
          <x14:formula1>
            <xm:f>Valores!$J$2:$J$3</xm:f>
          </x14:formula1>
          <xm:sqref>I31 H18:H20 I24:I26</xm:sqref>
        </x14:dataValidation>
        <x14:dataValidation type="list" allowBlank="1" showInputMessage="1" showErrorMessage="1" xr:uid="{6DE21E98-44C4-45E4-92C5-46DCC5DC910A}">
          <x14:formula1>
            <xm:f>Valores!$I$2:$I$3</xm:f>
          </x14:formula1>
          <xm:sqref>C18:C20</xm:sqref>
        </x14:dataValidation>
        <x14:dataValidation type="list" allowBlank="1" showInputMessage="1" showErrorMessage="1" xr:uid="{727D9042-0222-496A-8F48-52D44B259840}">
          <x14:formula1>
            <xm:f>Valores!$H$2:$H$3</xm:f>
          </x14:formula1>
          <xm:sqref>F13:F14 C31</xm:sqref>
        </x14:dataValidation>
        <x14:dataValidation type="list" allowBlank="1" showInputMessage="1" showErrorMessage="1" xr:uid="{E20C7E6C-53BC-4B98-A1CE-682E9A7E888E}">
          <x14:formula1>
            <xm:f>Valores!$G$2:$G$12</xm:f>
          </x14:formula1>
          <xm:sqref>C13:C14 F18:F20 G24:G27 L24:L27 G31</xm:sqref>
        </x14:dataValidation>
        <x14:dataValidation type="list" allowBlank="1" showInputMessage="1" showErrorMessage="1" xr:uid="{B257FFB3-51D5-48AD-9CFA-8661050E8CA5}">
          <x14:formula1>
            <xm:f>Valores!$F$2:$F$5</xm:f>
          </x14:formula1>
          <xm:sqref>A13:A14 A18:A20 A24:A27 A31</xm:sqref>
        </x14:dataValidation>
        <x14:dataValidation type="list" allowBlank="1" showInputMessage="1" showErrorMessage="1" xr:uid="{8BF5DD36-468B-47DF-BD80-7058842EAEA9}">
          <x14:formula1>
            <xm:f>Valores!$E$2:$E$3</xm:f>
          </x14:formula1>
          <xm:sqref>B6 E13:E14 D31 D24:D27 J31 I18:I20 J24:J27</xm:sqref>
        </x14:dataValidation>
        <x14:dataValidation type="list" allowBlank="1" showInputMessage="1" showErrorMessage="1" xr:uid="{D89FEC82-DFC8-4F63-A690-26EF87B81B84}">
          <x14:formula1>
            <xm:f>Valores!$D$2:$D$3</xm:f>
          </x14:formula1>
          <xm:sqref>B5</xm:sqref>
        </x14:dataValidation>
        <x14:dataValidation type="list" allowBlank="1" showInputMessage="1" showErrorMessage="1" xr:uid="{6C588BF1-C77C-47BE-8BF5-933F998A7397}">
          <x14:formula1>
            <xm:f>Clases!$A$2:$A$21</xm:f>
          </x14:formula1>
          <xm:sqref>E9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920AD-177D-4C8B-8FA4-DC18A98229DA}">
  <dimension ref="A1:N39"/>
  <sheetViews>
    <sheetView tabSelected="1" zoomScale="55" zoomScaleNormal="55" workbookViewId="0">
      <pane ySplit="1" topLeftCell="A29" activePane="bottomLeft" state="frozen"/>
      <selection pane="bottomLeft" activeCell="A30" sqref="A30"/>
    </sheetView>
  </sheetViews>
  <sheetFormatPr defaultColWidth="19.7109375" defaultRowHeight="15"/>
  <cols>
    <col min="1" max="1" width="28.7109375" style="1" customWidth="1"/>
    <col min="2" max="2" width="27.28515625" style="1" customWidth="1"/>
    <col min="3" max="3" width="27.140625" style="1" bestFit="1" customWidth="1"/>
    <col min="4" max="4" width="89.5703125" style="1" customWidth="1"/>
    <col min="5" max="5" width="63" style="1" bestFit="1" customWidth="1"/>
    <col min="6" max="6" width="27.140625" style="1" bestFit="1" customWidth="1"/>
    <col min="7" max="7" width="17.5703125" style="1" bestFit="1" customWidth="1"/>
    <col min="8" max="8" width="20.140625" style="1" bestFit="1" customWidth="1"/>
    <col min="9" max="10" width="34.140625" style="1" bestFit="1" customWidth="1"/>
    <col min="11" max="11" width="78.140625" style="1" customWidth="1"/>
    <col min="12" max="12" width="17.5703125" style="1" bestFit="1" customWidth="1"/>
    <col min="13" max="13" width="10" style="1" bestFit="1" customWidth="1"/>
    <col min="14" max="14" width="58.5703125" style="1" bestFit="1" customWidth="1"/>
    <col min="15" max="16384" width="19.7109375" style="1"/>
  </cols>
  <sheetData>
    <row r="1" spans="1:14">
      <c r="A1" s="74" t="s">
        <v>45</v>
      </c>
      <c r="B1" s="74"/>
      <c r="C1" s="74"/>
      <c r="D1" s="74"/>
      <c r="E1" s="74"/>
    </row>
    <row r="2" spans="1:14" ht="13.5" customHeight="1">
      <c r="A2" s="16" t="str">
        <f>Clases!$A$1</f>
        <v>Clase</v>
      </c>
      <c r="B2" s="77" t="str">
        <f>Clases!A21</f>
        <v>StockSede</v>
      </c>
      <c r="C2" s="77"/>
      <c r="D2" s="77"/>
      <c r="E2" s="78"/>
    </row>
    <row r="3" spans="1:14">
      <c r="A3" s="17" t="str">
        <f>Clases!$B$1</f>
        <v>Estereotipo</v>
      </c>
      <c r="B3" s="64" t="str">
        <f>Clases!B21</f>
        <v>class</v>
      </c>
      <c r="C3" s="64"/>
      <c r="D3" s="64"/>
      <c r="E3" s="65"/>
    </row>
    <row r="4" spans="1:14">
      <c r="A4" s="17" t="str">
        <f>Clases!$C$1</f>
        <v>Desripción</v>
      </c>
      <c r="B4" s="64" t="str">
        <f>Clases!C21</f>
        <v>Clase que representa el inventario de stock de productos en una sede específica, permitiendo el control de existencias por ubicación.</v>
      </c>
      <c r="C4" s="64"/>
      <c r="D4" s="64"/>
      <c r="E4" s="65"/>
    </row>
    <row r="5" spans="1:14">
      <c r="A5" s="17" t="s">
        <v>46</v>
      </c>
      <c r="B5" s="64" t="s">
        <v>47</v>
      </c>
      <c r="C5" s="64"/>
      <c r="D5" s="64"/>
      <c r="E5" s="65"/>
    </row>
    <row r="6" spans="1:14">
      <c r="A6" s="17" t="s">
        <v>48</v>
      </c>
      <c r="B6" s="64" t="s">
        <v>49</v>
      </c>
      <c r="C6" s="64"/>
      <c r="D6" s="64"/>
      <c r="E6" s="65"/>
    </row>
    <row r="7" spans="1:14">
      <c r="A7" s="75" t="s">
        <v>50</v>
      </c>
      <c r="B7" s="69"/>
      <c r="C7" s="69"/>
      <c r="D7" s="69"/>
      <c r="E7" s="76"/>
      <c r="F7" s="2"/>
      <c r="G7" s="2"/>
      <c r="H7" s="2"/>
      <c r="I7" s="2"/>
      <c r="J7" s="2"/>
      <c r="K7" s="2"/>
      <c r="L7" s="2"/>
      <c r="M7" s="2"/>
      <c r="N7" s="2"/>
    </row>
    <row r="8" spans="1:14">
      <c r="A8" s="4" t="s">
        <v>51</v>
      </c>
      <c r="B8" s="69" t="s">
        <v>52</v>
      </c>
      <c r="C8" s="69"/>
      <c r="D8" s="69"/>
      <c r="E8" s="5" t="s">
        <v>53</v>
      </c>
      <c r="F8" s="2"/>
      <c r="G8" s="2"/>
      <c r="H8" s="2"/>
      <c r="I8" s="2"/>
      <c r="J8" s="2"/>
      <c r="K8" s="2"/>
      <c r="L8" s="2"/>
      <c r="M8" s="2"/>
      <c r="N8" s="2"/>
    </row>
    <row r="9" spans="1:14">
      <c r="A9" s="9" t="s">
        <v>54</v>
      </c>
      <c r="B9" s="70" t="s">
        <v>55</v>
      </c>
      <c r="C9" s="70"/>
      <c r="D9" s="70"/>
      <c r="E9" s="36" t="s">
        <v>25</v>
      </c>
    </row>
    <row r="10" spans="1:14">
      <c r="A10" s="9" t="s">
        <v>54</v>
      </c>
      <c r="B10" s="70" t="s">
        <v>55</v>
      </c>
      <c r="C10" s="70"/>
      <c r="D10" s="70"/>
      <c r="E10" s="36" t="str">
        <f>Producto!B2</f>
        <v>Producto</v>
      </c>
    </row>
    <row r="11" spans="1:14">
      <c r="A11" s="66" t="s">
        <v>57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8"/>
    </row>
    <row r="12" spans="1:14">
      <c r="A12" s="73" t="s">
        <v>58</v>
      </c>
      <c r="B12" s="71" t="s">
        <v>59</v>
      </c>
      <c r="C12" s="71" t="s">
        <v>60</v>
      </c>
      <c r="D12" s="71"/>
      <c r="E12" s="71" t="s">
        <v>61</v>
      </c>
      <c r="F12" s="71" t="s">
        <v>62</v>
      </c>
      <c r="G12" s="71" t="s">
        <v>63</v>
      </c>
      <c r="H12" s="71"/>
      <c r="I12" s="71"/>
      <c r="J12" s="71" t="s">
        <v>64</v>
      </c>
      <c r="K12" s="71"/>
      <c r="L12" s="71"/>
      <c r="M12" s="71"/>
      <c r="N12" s="72"/>
    </row>
    <row r="13" spans="1:14">
      <c r="A13" s="73"/>
      <c r="B13" s="71"/>
      <c r="C13" s="10" t="s">
        <v>60</v>
      </c>
      <c r="D13" s="10" t="s">
        <v>65</v>
      </c>
      <c r="E13" s="71"/>
      <c r="F13" s="71"/>
      <c r="G13" s="71"/>
      <c r="H13" s="71"/>
      <c r="I13" s="71"/>
      <c r="J13" s="71"/>
      <c r="K13" s="71"/>
      <c r="L13" s="71"/>
      <c r="M13" s="71"/>
      <c r="N13" s="72"/>
    </row>
    <row r="14" spans="1:14">
      <c r="A14" s="6" t="s">
        <v>66</v>
      </c>
      <c r="B14" s="3" t="s">
        <v>133</v>
      </c>
      <c r="C14" s="3" t="s">
        <v>68</v>
      </c>
      <c r="D14" s="3"/>
      <c r="E14" s="3" t="s">
        <v>49</v>
      </c>
      <c r="F14" s="3" t="s">
        <v>69</v>
      </c>
      <c r="G14" s="64"/>
      <c r="H14" s="64"/>
      <c r="I14" s="64"/>
      <c r="J14" s="64" t="s">
        <v>582</v>
      </c>
      <c r="K14" s="64"/>
      <c r="L14" s="64"/>
      <c r="M14" s="64"/>
      <c r="N14" s="65"/>
    </row>
    <row r="15" spans="1:14">
      <c r="A15" s="6" t="s">
        <v>66</v>
      </c>
      <c r="B15" s="3" t="s">
        <v>379</v>
      </c>
      <c r="C15" s="3" t="s">
        <v>75</v>
      </c>
      <c r="D15" s="3" t="s">
        <v>76</v>
      </c>
      <c r="E15" s="3" t="s">
        <v>49</v>
      </c>
      <c r="F15" s="3" t="s">
        <v>69</v>
      </c>
      <c r="G15" s="64"/>
      <c r="H15" s="64"/>
      <c r="I15" s="64"/>
      <c r="J15" s="64" t="s">
        <v>583</v>
      </c>
      <c r="K15" s="64"/>
      <c r="L15" s="64"/>
      <c r="M15" s="64"/>
      <c r="N15" s="65"/>
    </row>
    <row r="16" spans="1:14">
      <c r="A16" s="6" t="s">
        <v>66</v>
      </c>
      <c r="B16" s="3" t="s">
        <v>584</v>
      </c>
      <c r="C16" s="3" t="s">
        <v>72</v>
      </c>
      <c r="D16" s="3"/>
      <c r="E16" s="3" t="s">
        <v>49</v>
      </c>
      <c r="F16" s="3" t="s">
        <v>69</v>
      </c>
      <c r="G16" s="64"/>
      <c r="H16" s="64"/>
      <c r="I16" s="64"/>
      <c r="J16" s="64" t="s">
        <v>585</v>
      </c>
      <c r="K16" s="64"/>
      <c r="L16" s="64"/>
      <c r="M16" s="64"/>
      <c r="N16" s="65"/>
    </row>
    <row r="17" spans="1:14">
      <c r="A17" s="81" t="s">
        <v>85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3"/>
    </row>
    <row r="18" spans="1:14">
      <c r="A18" s="84" t="s">
        <v>58</v>
      </c>
      <c r="B18" s="79" t="s">
        <v>59</v>
      </c>
      <c r="C18" s="79" t="s">
        <v>86</v>
      </c>
      <c r="D18" s="79" t="s">
        <v>87</v>
      </c>
      <c r="E18" s="79" t="s">
        <v>88</v>
      </c>
      <c r="F18" s="79"/>
      <c r="G18" s="79"/>
      <c r="H18" s="79"/>
      <c r="I18" s="79"/>
      <c r="J18" s="79"/>
      <c r="K18" s="79"/>
      <c r="L18" s="79"/>
      <c r="M18" s="79" t="s">
        <v>89</v>
      </c>
      <c r="N18" s="80"/>
    </row>
    <row r="19" spans="1:14">
      <c r="A19" s="84"/>
      <c r="B19" s="79"/>
      <c r="C19" s="79"/>
      <c r="D19" s="79"/>
      <c r="E19" s="11" t="s">
        <v>59</v>
      </c>
      <c r="F19" s="11" t="s">
        <v>60</v>
      </c>
      <c r="G19" s="11" t="s">
        <v>65</v>
      </c>
      <c r="H19" s="11" t="s">
        <v>90</v>
      </c>
      <c r="I19" s="11" t="s">
        <v>61</v>
      </c>
      <c r="J19" s="79" t="s">
        <v>87</v>
      </c>
      <c r="K19" s="79"/>
      <c r="L19" s="79"/>
      <c r="M19" s="79"/>
      <c r="N19" s="80"/>
    </row>
    <row r="20" spans="1:14">
      <c r="A20" s="6" t="s">
        <v>66</v>
      </c>
      <c r="B20" s="3" t="str">
        <f>B2</f>
        <v>StockSede</v>
      </c>
      <c r="C20" s="3" t="s">
        <v>92</v>
      </c>
      <c r="D20" s="3" t="s">
        <v>586</v>
      </c>
      <c r="E20" s="3"/>
      <c r="F20" s="3"/>
      <c r="G20" s="3"/>
      <c r="H20" s="3"/>
      <c r="I20" s="3"/>
      <c r="J20" s="45"/>
      <c r="K20" s="48"/>
      <c r="L20" s="49"/>
      <c r="M20" s="45"/>
      <c r="N20" s="46"/>
    </row>
    <row r="21" spans="1:14">
      <c r="A21" s="6" t="s">
        <v>91</v>
      </c>
      <c r="B21" s="43" t="str">
        <f>B2</f>
        <v>StockSede</v>
      </c>
      <c r="C21" s="3" t="s">
        <v>97</v>
      </c>
      <c r="D21" s="43" t="s">
        <v>587</v>
      </c>
      <c r="E21" s="3" t="s">
        <v>133</v>
      </c>
      <c r="F21" s="3" t="s">
        <v>68</v>
      </c>
      <c r="G21" s="3"/>
      <c r="H21" s="3" t="s">
        <v>94</v>
      </c>
      <c r="I21" s="3" t="s">
        <v>49</v>
      </c>
      <c r="J21" s="45" t="s">
        <v>588</v>
      </c>
      <c r="K21" s="48"/>
      <c r="L21" s="49"/>
      <c r="M21" s="45"/>
      <c r="N21" s="46"/>
    </row>
    <row r="22" spans="1:14">
      <c r="A22" s="6" t="s">
        <v>91</v>
      </c>
      <c r="B22" s="85"/>
      <c r="C22" s="3" t="s">
        <v>97</v>
      </c>
      <c r="D22" s="85"/>
      <c r="E22" s="3" t="s">
        <v>379</v>
      </c>
      <c r="F22" s="3" t="s">
        <v>75</v>
      </c>
      <c r="G22" s="3" t="s">
        <v>76</v>
      </c>
      <c r="H22" s="3" t="s">
        <v>94</v>
      </c>
      <c r="I22" s="3" t="s">
        <v>49</v>
      </c>
      <c r="J22" s="45" t="s">
        <v>589</v>
      </c>
      <c r="K22" s="48"/>
      <c r="L22" s="49"/>
      <c r="M22" s="28"/>
      <c r="N22" s="31"/>
    </row>
    <row r="23" spans="1:14">
      <c r="A23" s="6" t="s">
        <v>91</v>
      </c>
      <c r="B23" s="44"/>
      <c r="C23" s="3" t="s">
        <v>97</v>
      </c>
      <c r="D23" s="44"/>
      <c r="E23" s="3" t="s">
        <v>584</v>
      </c>
      <c r="F23" s="3" t="s">
        <v>72</v>
      </c>
      <c r="G23" s="3"/>
      <c r="H23" s="3" t="s">
        <v>94</v>
      </c>
      <c r="I23" s="3" t="s">
        <v>49</v>
      </c>
      <c r="J23" s="45" t="s">
        <v>590</v>
      </c>
      <c r="K23" s="48"/>
      <c r="L23" s="49"/>
      <c r="M23" s="28"/>
      <c r="N23" s="31"/>
    </row>
    <row r="24" spans="1:14">
      <c r="A24" s="58" t="s">
        <v>101</v>
      </c>
      <c r="B24" s="59"/>
      <c r="C24" s="59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60"/>
    </row>
    <row r="25" spans="1:14">
      <c r="A25" s="63" t="s">
        <v>58</v>
      </c>
      <c r="B25" s="47" t="s">
        <v>59</v>
      </c>
      <c r="C25" s="47" t="s">
        <v>102</v>
      </c>
      <c r="D25" s="47" t="s">
        <v>103</v>
      </c>
      <c r="E25" s="47" t="s">
        <v>87</v>
      </c>
      <c r="F25" s="47" t="s">
        <v>88</v>
      </c>
      <c r="G25" s="47"/>
      <c r="H25" s="47"/>
      <c r="I25" s="47"/>
      <c r="J25" s="47"/>
      <c r="K25" s="47"/>
      <c r="L25" s="47" t="s">
        <v>104</v>
      </c>
      <c r="M25" s="47"/>
      <c r="N25" s="61" t="s">
        <v>89</v>
      </c>
    </row>
    <row r="26" spans="1:14">
      <c r="A26" s="63"/>
      <c r="B26" s="47"/>
      <c r="C26" s="47"/>
      <c r="D26" s="47"/>
      <c r="E26" s="47"/>
      <c r="F26" s="12" t="s">
        <v>59</v>
      </c>
      <c r="G26" s="12" t="s">
        <v>60</v>
      </c>
      <c r="H26" s="12" t="s">
        <v>65</v>
      </c>
      <c r="I26" s="12" t="s">
        <v>90</v>
      </c>
      <c r="J26" s="12" t="s">
        <v>61</v>
      </c>
      <c r="K26" s="12" t="s">
        <v>87</v>
      </c>
      <c r="L26" s="12" t="s">
        <v>60</v>
      </c>
      <c r="M26" s="12" t="s">
        <v>65</v>
      </c>
      <c r="N26" s="61"/>
    </row>
    <row r="27" spans="1:14">
      <c r="A27" s="6" t="s">
        <v>91</v>
      </c>
      <c r="B27" s="3" t="s">
        <v>140</v>
      </c>
      <c r="C27" s="3" t="s">
        <v>106</v>
      </c>
      <c r="D27" s="3" t="s">
        <v>49</v>
      </c>
      <c r="E27" s="3" t="s">
        <v>141</v>
      </c>
      <c r="F27" s="3"/>
      <c r="G27" s="3"/>
      <c r="H27" s="3"/>
      <c r="I27" s="3"/>
      <c r="J27" s="3"/>
      <c r="K27" s="3"/>
      <c r="L27" s="3" t="s">
        <v>68</v>
      </c>
      <c r="M27" s="3"/>
      <c r="N27" s="7"/>
    </row>
    <row r="28" spans="1:14">
      <c r="A28" s="6" t="s">
        <v>91</v>
      </c>
      <c r="B28" s="3" t="s">
        <v>162</v>
      </c>
      <c r="C28" s="3" t="s">
        <v>112</v>
      </c>
      <c r="D28" s="3" t="s">
        <v>49</v>
      </c>
      <c r="E28" s="3" t="s">
        <v>163</v>
      </c>
      <c r="F28" s="3" t="s">
        <v>133</v>
      </c>
      <c r="G28" s="3" t="s">
        <v>68</v>
      </c>
      <c r="H28" s="3"/>
      <c r="I28" s="3" t="s">
        <v>94</v>
      </c>
      <c r="J28" s="3" t="s">
        <v>49</v>
      </c>
      <c r="K28" s="3" t="s">
        <v>151</v>
      </c>
      <c r="L28" s="3"/>
      <c r="M28" s="3"/>
      <c r="N28" s="7"/>
    </row>
    <row r="29" spans="1:14">
      <c r="A29" s="6" t="s">
        <v>91</v>
      </c>
      <c r="B29" s="3" t="s">
        <v>391</v>
      </c>
      <c r="C29" s="3" t="s">
        <v>106</v>
      </c>
      <c r="D29" s="3" t="s">
        <v>49</v>
      </c>
      <c r="E29" s="3" t="s">
        <v>392</v>
      </c>
      <c r="F29" s="3"/>
      <c r="G29" s="3"/>
      <c r="H29" s="3"/>
      <c r="I29" s="3"/>
      <c r="J29" s="3"/>
      <c r="K29" s="3"/>
      <c r="L29" s="3" t="s">
        <v>75</v>
      </c>
      <c r="M29" s="3" t="s">
        <v>76</v>
      </c>
      <c r="N29" s="7"/>
    </row>
    <row r="30" spans="1:14">
      <c r="A30" s="6" t="s">
        <v>91</v>
      </c>
      <c r="B30" s="3" t="s">
        <v>393</v>
      </c>
      <c r="C30" s="3" t="s">
        <v>112</v>
      </c>
      <c r="D30" s="3" t="s">
        <v>49</v>
      </c>
      <c r="E30" s="3" t="s">
        <v>394</v>
      </c>
      <c r="F30" s="3" t="s">
        <v>379</v>
      </c>
      <c r="G30" s="3" t="s">
        <v>75</v>
      </c>
      <c r="H30" s="3" t="s">
        <v>76</v>
      </c>
      <c r="I30" s="3" t="s">
        <v>94</v>
      </c>
      <c r="J30" s="3" t="s">
        <v>49</v>
      </c>
      <c r="K30" s="3" t="s">
        <v>395</v>
      </c>
      <c r="L30" s="3"/>
      <c r="M30" s="3"/>
      <c r="N30" s="7"/>
    </row>
    <row r="31" spans="1:14">
      <c r="A31" s="6" t="s">
        <v>91</v>
      </c>
      <c r="B31" s="3" t="s">
        <v>591</v>
      </c>
      <c r="C31" s="3" t="s">
        <v>106</v>
      </c>
      <c r="D31" s="3" t="s">
        <v>49</v>
      </c>
      <c r="E31" s="3" t="s">
        <v>592</v>
      </c>
      <c r="F31" s="3"/>
      <c r="G31" s="3"/>
      <c r="H31" s="3"/>
      <c r="I31" s="3"/>
      <c r="J31" s="3"/>
      <c r="K31" s="3"/>
      <c r="L31" s="3" t="s">
        <v>72</v>
      </c>
      <c r="M31" s="3"/>
      <c r="N31" s="7"/>
    </row>
    <row r="32" spans="1:14">
      <c r="A32" s="6" t="s">
        <v>91</v>
      </c>
      <c r="B32" s="3" t="s">
        <v>593</v>
      </c>
      <c r="C32" s="3" t="s">
        <v>112</v>
      </c>
      <c r="D32" s="3" t="s">
        <v>49</v>
      </c>
      <c r="E32" s="3" t="s">
        <v>594</v>
      </c>
      <c r="F32" s="3" t="s">
        <v>584</v>
      </c>
      <c r="G32" s="3" t="s">
        <v>72</v>
      </c>
      <c r="H32" s="3"/>
      <c r="I32" s="3" t="s">
        <v>94</v>
      </c>
      <c r="J32" s="3" t="s">
        <v>49</v>
      </c>
      <c r="K32" s="3" t="s">
        <v>595</v>
      </c>
      <c r="L32" s="3"/>
      <c r="M32" s="3"/>
      <c r="N32" s="7"/>
    </row>
    <row r="33" spans="1:14">
      <c r="A33" s="54" t="s">
        <v>118</v>
      </c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6"/>
    </row>
    <row r="34" spans="1:14">
      <c r="A34" s="62" t="s">
        <v>58</v>
      </c>
      <c r="B34" s="53" t="s">
        <v>59</v>
      </c>
      <c r="C34" s="53" t="s">
        <v>119</v>
      </c>
      <c r="D34" s="53" t="s">
        <v>103</v>
      </c>
      <c r="E34" s="53" t="s">
        <v>87</v>
      </c>
      <c r="F34" s="53" t="s">
        <v>88</v>
      </c>
      <c r="G34" s="53"/>
      <c r="H34" s="53"/>
      <c r="I34" s="53"/>
      <c r="J34" s="53"/>
      <c r="K34" s="53"/>
      <c r="L34" s="53" t="s">
        <v>104</v>
      </c>
      <c r="M34" s="53"/>
      <c r="N34" s="57" t="s">
        <v>89</v>
      </c>
    </row>
    <row r="35" spans="1:14">
      <c r="A35" s="62"/>
      <c r="B35" s="53"/>
      <c r="C35" s="53"/>
      <c r="D35" s="53"/>
      <c r="E35" s="53"/>
      <c r="F35" s="13" t="s">
        <v>59</v>
      </c>
      <c r="G35" s="13" t="s">
        <v>60</v>
      </c>
      <c r="H35" s="13" t="s">
        <v>65</v>
      </c>
      <c r="I35" s="13" t="s">
        <v>90</v>
      </c>
      <c r="J35" s="13" t="s">
        <v>61</v>
      </c>
      <c r="K35" s="13" t="s">
        <v>87</v>
      </c>
      <c r="L35" s="13" t="s">
        <v>60</v>
      </c>
      <c r="M35" s="13" t="s">
        <v>65</v>
      </c>
      <c r="N35" s="57"/>
    </row>
    <row r="36" spans="1:14">
      <c r="A36" s="6" t="s">
        <v>91</v>
      </c>
      <c r="B36" s="3" t="s">
        <v>596</v>
      </c>
      <c r="C36" s="3" t="s">
        <v>69</v>
      </c>
      <c r="D36" s="3" t="s">
        <v>49</v>
      </c>
      <c r="E36" s="3" t="s">
        <v>597</v>
      </c>
      <c r="F36" s="3"/>
      <c r="G36" s="3"/>
      <c r="H36" s="3"/>
      <c r="I36" s="3"/>
      <c r="J36" s="3"/>
      <c r="K36" s="3"/>
      <c r="L36" s="3" t="s">
        <v>75</v>
      </c>
      <c r="M36" s="3" t="s">
        <v>76</v>
      </c>
      <c r="N36" s="7"/>
    </row>
    <row r="37" spans="1:14">
      <c r="A37" s="14" t="s">
        <v>91</v>
      </c>
      <c r="B37" s="15" t="s">
        <v>598</v>
      </c>
      <c r="C37" s="3" t="s">
        <v>69</v>
      </c>
      <c r="D37" s="3" t="s">
        <v>49</v>
      </c>
      <c r="E37" s="15" t="s">
        <v>599</v>
      </c>
      <c r="F37" s="70" t="s">
        <v>379</v>
      </c>
      <c r="G37" s="70" t="s">
        <v>75</v>
      </c>
      <c r="H37" s="70" t="s">
        <v>76</v>
      </c>
      <c r="I37" s="70" t="s">
        <v>94</v>
      </c>
      <c r="J37" s="70" t="s">
        <v>49</v>
      </c>
      <c r="K37" s="70" t="s">
        <v>600</v>
      </c>
      <c r="L37" s="15"/>
      <c r="M37" s="15"/>
      <c r="N37" s="137" t="s">
        <v>349</v>
      </c>
    </row>
    <row r="38" spans="1:14">
      <c r="A38" s="6" t="s">
        <v>91</v>
      </c>
      <c r="B38" s="3" t="s">
        <v>601</v>
      </c>
      <c r="C38" s="3" t="s">
        <v>69</v>
      </c>
      <c r="D38" s="3" t="s">
        <v>49</v>
      </c>
      <c r="E38" s="3" t="s">
        <v>602</v>
      </c>
      <c r="F38" s="86"/>
      <c r="G38" s="86"/>
      <c r="H38" s="86"/>
      <c r="I38" s="86"/>
      <c r="J38" s="86"/>
      <c r="K38" s="86"/>
      <c r="L38" s="3"/>
      <c r="M38" s="3"/>
      <c r="N38" s="138"/>
    </row>
    <row r="39" spans="1:14">
      <c r="A39" s="14" t="s">
        <v>91</v>
      </c>
      <c r="B39" s="15" t="s">
        <v>603</v>
      </c>
      <c r="C39" s="3" t="s">
        <v>69</v>
      </c>
      <c r="D39" s="3" t="s">
        <v>49</v>
      </c>
      <c r="E39" s="15" t="s">
        <v>604</v>
      </c>
      <c r="F39" s="15" t="s">
        <v>605</v>
      </c>
      <c r="G39" s="15" t="s">
        <v>72</v>
      </c>
      <c r="H39" s="15"/>
      <c r="I39" s="15" t="s">
        <v>94</v>
      </c>
      <c r="J39" s="15" t="s">
        <v>49</v>
      </c>
      <c r="K39" s="15" t="s">
        <v>606</v>
      </c>
      <c r="L39" s="15"/>
      <c r="M39" s="15"/>
      <c r="N39" s="8" t="s">
        <v>349</v>
      </c>
    </row>
  </sheetData>
  <mergeCells count="65">
    <mergeCell ref="K37:K38"/>
    <mergeCell ref="N37:N38"/>
    <mergeCell ref="B21:B23"/>
    <mergeCell ref="D21:D23"/>
    <mergeCell ref="J22:L22"/>
    <mergeCell ref="J23:L23"/>
    <mergeCell ref="F37:F38"/>
    <mergeCell ref="G37:G38"/>
    <mergeCell ref="H37:H38"/>
    <mergeCell ref="I37:I38"/>
    <mergeCell ref="J37:J38"/>
    <mergeCell ref="M21:N21"/>
    <mergeCell ref="C25:C26"/>
    <mergeCell ref="E25:E26"/>
    <mergeCell ref="L34:M34"/>
    <mergeCell ref="N34:N35"/>
    <mergeCell ref="G15:I15"/>
    <mergeCell ref="B6:E6"/>
    <mergeCell ref="A1:E1"/>
    <mergeCell ref="B2:E2"/>
    <mergeCell ref="B3:E3"/>
    <mergeCell ref="B4:E4"/>
    <mergeCell ref="B5:E5"/>
    <mergeCell ref="B9:D9"/>
    <mergeCell ref="G16:I16"/>
    <mergeCell ref="J16:N16"/>
    <mergeCell ref="A7:E7"/>
    <mergeCell ref="B8:D8"/>
    <mergeCell ref="B10:D10"/>
    <mergeCell ref="A11:N11"/>
    <mergeCell ref="A12:A13"/>
    <mergeCell ref="B12:B13"/>
    <mergeCell ref="C12:D12"/>
    <mergeCell ref="E12:E13"/>
    <mergeCell ref="F12:F13"/>
    <mergeCell ref="G12:I13"/>
    <mergeCell ref="J12:N13"/>
    <mergeCell ref="G14:I14"/>
    <mergeCell ref="J14:N14"/>
    <mergeCell ref="J15:N15"/>
    <mergeCell ref="A17:N17"/>
    <mergeCell ref="A18:A19"/>
    <mergeCell ref="B18:B19"/>
    <mergeCell ref="C18:C19"/>
    <mergeCell ref="D18:D19"/>
    <mergeCell ref="E18:L18"/>
    <mergeCell ref="M18:N19"/>
    <mergeCell ref="J19:L19"/>
    <mergeCell ref="J20:L20"/>
    <mergeCell ref="M20:N20"/>
    <mergeCell ref="J21:L21"/>
    <mergeCell ref="D25:D26"/>
    <mergeCell ref="A24:N24"/>
    <mergeCell ref="F25:K25"/>
    <mergeCell ref="L25:M25"/>
    <mergeCell ref="N25:N26"/>
    <mergeCell ref="A25:A26"/>
    <mergeCell ref="B25:B26"/>
    <mergeCell ref="A33:N33"/>
    <mergeCell ref="A34:A35"/>
    <mergeCell ref="B34:B35"/>
    <mergeCell ref="C34:C35"/>
    <mergeCell ref="D34:D35"/>
    <mergeCell ref="E34:E35"/>
    <mergeCell ref="F34:K34"/>
  </mergeCells>
  <hyperlinks>
    <hyperlink ref="A1:E1" location="Clases!A1" display="&lt;-Volver al inicio" xr:uid="{64088482-7B35-4FA8-BDD5-D477DE7CA79A}"/>
    <hyperlink ref="E10" location="'Producto'!B2" display="=Producto!B2" xr:uid="{3EC49244-18BB-4254-83BF-06788784CF87}"/>
    <hyperlink ref="E9" location="'Sede'!B2" display="Sede" xr:uid="{3BC55112-91D9-42A6-94DE-F90B7F4126D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325FC8D-956D-4348-A336-E5E2CCBEDECE}">
          <x14:formula1>
            <xm:f>Valores!$D$2:$D$3</xm:f>
          </x14:formula1>
          <xm:sqref>B5</xm:sqref>
        </x14:dataValidation>
        <x14:dataValidation type="list" allowBlank="1" showInputMessage="1" showErrorMessage="1" xr:uid="{7C7C4567-E7AD-4676-A873-4B412FEE4578}">
          <x14:formula1>
            <xm:f>Valores!$E$2:$E$3</xm:f>
          </x14:formula1>
          <xm:sqref>B6 E14:E16 D27:D32 D36:D39 J39 J36:J37 J27:J32 I20:I23</xm:sqref>
        </x14:dataValidation>
        <x14:dataValidation type="list" allowBlank="1" showInputMessage="1" showErrorMessage="1" xr:uid="{7430D5CE-B5C9-44F0-A8AC-2D846CC14D74}">
          <x14:formula1>
            <xm:f>Valores!$F$2:$F$5</xm:f>
          </x14:formula1>
          <xm:sqref>A14:A16 A20:A23 A36:A39 A27:A32</xm:sqref>
        </x14:dataValidation>
        <x14:dataValidation type="list" allowBlank="1" showInputMessage="1" showErrorMessage="1" xr:uid="{22A86001-C789-4E7B-9801-6388124C268A}">
          <x14:formula1>
            <xm:f>Valores!$G$2:$G$12</xm:f>
          </x14:formula1>
          <xm:sqref>C14:C16 F20:F23 G39 L39 L37 G36:G37 G27:G32 L27:L32</xm:sqref>
        </x14:dataValidation>
        <x14:dataValidation type="list" allowBlank="1" showInputMessage="1" showErrorMessage="1" xr:uid="{9911F6F9-3D2C-466A-AFC8-B4BD663B5E91}">
          <x14:formula1>
            <xm:f>Valores!$H$2:$H$3</xm:f>
          </x14:formula1>
          <xm:sqref>F14:F16 C36:C39</xm:sqref>
        </x14:dataValidation>
        <x14:dataValidation type="list" allowBlank="1" showInputMessage="1" showErrorMessage="1" xr:uid="{47ABD982-4A93-4457-8280-5357DCFD914C}">
          <x14:formula1>
            <xm:f>Valores!$I$2:$I$3</xm:f>
          </x14:formula1>
          <xm:sqref>C20:C23</xm:sqref>
        </x14:dataValidation>
        <x14:dataValidation type="list" allowBlank="1" showInputMessage="1" showErrorMessage="1" xr:uid="{1C00DB40-4DDC-42F2-9088-D1F9FDAB889A}">
          <x14:formula1>
            <xm:f>Valores!$J$2:$J$3</xm:f>
          </x14:formula1>
          <xm:sqref>I27:I32 I39 I36:I37 H20:H23</xm:sqref>
        </x14:dataValidation>
        <x14:dataValidation type="list" allowBlank="1" showInputMessage="1" showErrorMessage="1" xr:uid="{41987EB4-FE8F-45E2-A08E-7ED2CC5CDDE6}">
          <x14:formula1>
            <xm:f>Valores!$K$2:$K$3</xm:f>
          </x14:formula1>
          <xm:sqref>C27:C32</xm:sqref>
        </x14:dataValidation>
        <x14:dataValidation type="list" allowBlank="1" showInputMessage="1" showErrorMessage="1" xr:uid="{85353A14-BC34-473E-9AAF-05C945EFF586}">
          <x14:formula1>
            <xm:f>Valores!$L$2:$L$13</xm:f>
          </x14:formula1>
          <xm:sqref>L36 L38</xm:sqref>
        </x14:dataValidation>
        <x14:dataValidation type="list" allowBlank="1" showInputMessage="1" showErrorMessage="1" xr:uid="{4615A7F8-A8B0-40B2-86FC-A058F386008A}">
          <x14:formula1>
            <xm:f>Valores!$B$2:$B$3</xm:f>
          </x14:formula1>
          <xm:sqref>A9:A10</xm:sqref>
        </x14:dataValidation>
        <x14:dataValidation type="list" allowBlank="1" showInputMessage="1" showErrorMessage="1" xr:uid="{E2EC0996-2E2A-4990-919E-7947FAFC77E6}">
          <x14:formula1>
            <xm:f>Valores!$C$2:$C$7</xm:f>
          </x14:formula1>
          <xm:sqref>B9:B10</xm:sqref>
        </x14:dataValidation>
        <x14:dataValidation type="list" allowBlank="1" showInputMessage="1" showErrorMessage="1" xr:uid="{734F8A86-A88A-42E2-83B1-E8DA805B5AD7}">
          <x14:formula1>
            <xm:f>Clases!$A$2:$A$13</xm:f>
          </x14:formula1>
          <xm:sqref>E9:E10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AE00E38F6D3014A8F884FC2DDE00A5F" ma:contentTypeVersion="10" ma:contentTypeDescription="Crear nuevo documento." ma:contentTypeScope="" ma:versionID="a2b2f06b5afc9fcb8506d5e906873c87">
  <xsd:schema xmlns:xsd="http://www.w3.org/2001/XMLSchema" xmlns:xs="http://www.w3.org/2001/XMLSchema" xmlns:p="http://schemas.microsoft.com/office/2006/metadata/properties" xmlns:ns2="56c64bb3-cb7a-4fe9-88a1-7ff1075f30e8" xmlns:ns3="0781251d-e4d8-450f-899a-ee8df7b83b53" targetNamespace="http://schemas.microsoft.com/office/2006/metadata/properties" ma:root="true" ma:fieldsID="1a968010c303fd1d2567b445c757f185" ns2:_="" ns3:_="">
    <xsd:import namespace="56c64bb3-cb7a-4fe9-88a1-7ff1075f30e8"/>
    <xsd:import namespace="0781251d-e4d8-450f-899a-ee8df7b83b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c64bb3-cb7a-4fe9-88a1-7ff1075f3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81251d-e4d8-450f-899a-ee8df7b83b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266b1ff-f4f7-4666-8b74-05ce9b72cee4}" ma:internalName="TaxCatchAll" ma:showField="CatchAllData" ma:web="0781251d-e4d8-450f-899a-ee8df7b83b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c64bb3-cb7a-4fe9-88a1-7ff1075f30e8">
      <Terms xmlns="http://schemas.microsoft.com/office/infopath/2007/PartnerControls"/>
    </lcf76f155ced4ddcb4097134ff3c332f>
    <TaxCatchAll xmlns="0781251d-e4d8-450f-899a-ee8df7b83b53" xsi:nil="true"/>
  </documentManagement>
</p:properties>
</file>

<file path=customXml/itemProps1.xml><?xml version="1.0" encoding="utf-8"?>
<ds:datastoreItem xmlns:ds="http://schemas.openxmlformats.org/officeDocument/2006/customXml" ds:itemID="{6F878460-2F3A-41BD-95C2-4CD9C0DA2538}"/>
</file>

<file path=customXml/itemProps2.xml><?xml version="1.0" encoding="utf-8"?>
<ds:datastoreItem xmlns:ds="http://schemas.openxmlformats.org/officeDocument/2006/customXml" ds:itemID="{6A9A39F1-2E12-4FA7-9D0A-221B9F896FC2}"/>
</file>

<file path=customXml/itemProps3.xml><?xml version="1.0" encoding="utf-8"?>
<ds:datastoreItem xmlns:ds="http://schemas.openxmlformats.org/officeDocument/2006/customXml" ds:itemID="{9AE2A7AE-CB58-44F4-8195-7E287552EB43}"/>
</file>

<file path=docMetadata/LabelInfo.xml><?xml version="1.0" encoding="utf-8"?>
<clbl:labelList xmlns:clbl="http://schemas.microsoft.com/office/2020/mipLabelMetadata">
  <clbl:label id="{6ebbfa72-b3b6-4c1f-8b23-058d4f67f013}" enabled="1" method="Privileged" siteId="{bf1ce8b5-5d39-4bc5-ad6e-07b3e4d7d67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Luciana Sánchez Arias</dc:creator>
  <cp:keywords/>
  <dc:description/>
  <cp:lastModifiedBy>Luz Mery Rios Alzate</cp:lastModifiedBy>
  <cp:revision/>
  <dcterms:created xsi:type="dcterms:W3CDTF">2023-03-29T19:04:22Z</dcterms:created>
  <dcterms:modified xsi:type="dcterms:W3CDTF">2026-01-27T00:04:12Z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86cab09b-e61a-4c01-96e7-67fc9e3d8cd5_Enabled">
    <vt:lpwstr>true</vt:lpwstr>
  </property>
  <property fmtid="{D5CDD505-2E9C-101B-9397-08002B2CF9AE}" pid="5" name="MSIP_Label_86cab09b-e61a-4c01-96e7-67fc9e3d8cd5_SetDate">
    <vt:lpwstr>2023-03-29T20:40:24Z</vt:lpwstr>
  </property>
  <property fmtid="{D5CDD505-2E9C-101B-9397-08002B2CF9AE}" pid="6" name="MSIP_Label_86cab09b-e61a-4c01-96e7-67fc9e3d8cd5_Method">
    <vt:lpwstr>Standard</vt:lpwstr>
  </property>
  <property fmtid="{D5CDD505-2E9C-101B-9397-08002B2CF9AE}" pid="7" name="MSIP_Label_86cab09b-e61a-4c01-96e7-67fc9e3d8cd5_Name">
    <vt:lpwstr>Todos los Empleados</vt:lpwstr>
  </property>
  <property fmtid="{D5CDD505-2E9C-101B-9397-08002B2CF9AE}" pid="8" name="MSIP_Label_86cab09b-e61a-4c01-96e7-67fc9e3d8cd5_SiteId">
    <vt:lpwstr>bf1ce8b5-5d39-4bc5-ad6e-07b3e4d7d67a</vt:lpwstr>
  </property>
  <property fmtid="{D5CDD505-2E9C-101B-9397-08002B2CF9AE}" pid="9" name="MSIP_Label_86cab09b-e61a-4c01-96e7-67fc9e3d8cd5_ActionId">
    <vt:lpwstr>0c313e8a-0cbc-47b0-90bf-fa4503b785f4</vt:lpwstr>
  </property>
  <property fmtid="{D5CDD505-2E9C-101B-9397-08002B2CF9AE}" pid="10" name="MSIP_Label_86cab09b-e61a-4c01-96e7-67fc9e3d8cd5_ContentBits">
    <vt:lpwstr>8</vt:lpwstr>
  </property>
  <property fmtid="{D5CDD505-2E9C-101B-9397-08002B2CF9AE}" pid="11" name="ContentTypeId">
    <vt:lpwstr>0x0101009AE00E38F6D3014A8F884FC2DDE00A5F</vt:lpwstr>
  </property>
  <property fmtid="{D5CDD505-2E9C-101B-9397-08002B2CF9AE}" pid="12" name="MediaServiceImageTags">
    <vt:lpwstr/>
  </property>
</Properties>
</file>