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onet.sharepoint.com/sites/ProyectodegradoBloquera/Shared Documents/General/Estructura-Plantillas trabajos de grado/1. Artefactos proyecto/1.1. Artefactos estratégicos/1.1.9. Especificación funcional/1.1.9.5. Artefactos apoyo/"/>
    </mc:Choice>
  </mc:AlternateContent>
  <xr:revisionPtr revIDLastSave="1625" documentId="13_ncr:1_{B1FD986E-9724-4C88-A877-E4B513D6A688}" xr6:coauthVersionLast="47" xr6:coauthVersionMax="47" xr10:uidLastSave="{DA15FB0C-6A62-4AC2-87BB-BB15DC4B379E}"/>
  <bookViews>
    <workbookView xWindow="-120" yWindow="-120" windowWidth="38640" windowHeight="21120" tabRatio="632" firstSheet="13" activeTab="12" xr2:uid="{00000000-000D-0000-FFFF-FFFF00000000}"/>
  </bookViews>
  <sheets>
    <sheet name="Valores" sheetId="1" r:id="rId1"/>
    <sheet name="Catálogo mensajes" sheetId="3" r:id="rId2"/>
    <sheet name="CatalogoMensajes_ ReestContra" sheetId="7" r:id="rId3"/>
    <sheet name="CatalogoMensajes Reg Y Mod Pago" sheetId="8" r:id="rId4"/>
    <sheet name="CatalogoMensajes Reg y Mod Insu" sheetId="9" r:id="rId5"/>
    <sheet name="CatalogoMensajes_regModCon Abas" sheetId="10" r:id="rId6"/>
    <sheet name="CatalogoMensajes_regModCon Devo" sheetId="13" r:id="rId7"/>
    <sheet name="CatalogoMensajes RegYMod Client" sheetId="11" r:id="rId8"/>
    <sheet name="CatalogoMensajes Reg y mod Sede" sheetId="12" r:id="rId9"/>
    <sheet name="CatalogoMensajes re,co,m vent " sheetId="14" r:id="rId10"/>
    <sheet name="CatalogoMensajes Envio" sheetId="16" r:id="rId11"/>
    <sheet name="CatalogoMensajes Producto" sheetId="18" r:id="rId12"/>
    <sheet name="CatalogoMensajes Produccion" sheetId="19" r:id="rId13"/>
    <sheet name="CatalogoMensajes Proveedor" sheetId="20" r:id="rId14"/>
    <sheet name="CatalogoMensajes Categoria" sheetId="21" r:id="rId15"/>
    <sheet name="CatalogoMensajesPersona" sheetId="22" r:id="rId16"/>
  </sheets>
  <definedNames>
    <definedName name="_xlnm._FilterDatabase" localSheetId="1" hidden="1">'Catálogo mensajes'!$A$1:$I$934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3" l="1"/>
  <c r="D7" i="22"/>
  <c r="C7" i="22"/>
  <c r="C2" i="22"/>
  <c r="D2" i="22" s="1"/>
  <c r="D3" i="21"/>
  <c r="D4" i="21"/>
  <c r="D2" i="21"/>
  <c r="C14" i="13" l="1"/>
  <c r="C4" i="13"/>
  <c r="D4" i="13"/>
  <c r="C2" i="14"/>
  <c r="D2" i="14"/>
  <c r="C28" i="3"/>
  <c r="C29" i="3"/>
  <c r="D29" i="3" s="1"/>
  <c r="D28" i="3"/>
  <c r="C9" i="21"/>
  <c r="D9" i="21" s="1"/>
  <c r="C4" i="21"/>
  <c r="C3" i="21"/>
  <c r="C2" i="21"/>
  <c r="C21" i="20"/>
  <c r="D21" i="20"/>
  <c r="C8" i="20"/>
  <c r="D8" i="20" s="1"/>
  <c r="C7" i="20"/>
  <c r="D7" i="20" s="1"/>
  <c r="C20" i="20"/>
  <c r="D20" i="20" s="1"/>
  <c r="C15" i="20"/>
  <c r="D15" i="20" s="1"/>
  <c r="C14" i="20"/>
  <c r="D14" i="20" s="1"/>
  <c r="C13" i="20"/>
  <c r="D13" i="20" s="1"/>
  <c r="C6" i="20"/>
  <c r="D6" i="20" s="1"/>
  <c r="C5" i="20"/>
  <c r="D5" i="20" s="1"/>
  <c r="C4" i="20"/>
  <c r="D4" i="20" s="1"/>
  <c r="C3" i="20"/>
  <c r="D3" i="20" s="1"/>
  <c r="C2" i="20"/>
  <c r="D2" i="20" s="1"/>
  <c r="C19" i="18"/>
  <c r="D19" i="18" s="1"/>
  <c r="C18" i="18"/>
  <c r="D18" i="18" s="1"/>
  <c r="C19" i="19"/>
  <c r="D19" i="19" s="1"/>
  <c r="C14" i="19"/>
  <c r="D14" i="19" s="1"/>
  <c r="C6" i="19"/>
  <c r="D6" i="19" s="1"/>
  <c r="C13" i="19"/>
  <c r="D13" i="19" s="1"/>
  <c r="C12" i="19"/>
  <c r="D12" i="19" s="1"/>
  <c r="C11" i="19"/>
  <c r="D11" i="19" s="1"/>
  <c r="C5" i="19"/>
  <c r="D5" i="19" s="1"/>
  <c r="C4" i="19"/>
  <c r="D4" i="19" s="1"/>
  <c r="C3" i="19"/>
  <c r="D3" i="19" s="1"/>
  <c r="C2" i="19"/>
  <c r="D2" i="19" s="1"/>
  <c r="C12" i="18"/>
  <c r="D12" i="18"/>
  <c r="C11" i="18"/>
  <c r="D11" i="18" s="1"/>
  <c r="C5" i="18"/>
  <c r="D5" i="18" s="1"/>
  <c r="C4" i="18"/>
  <c r="D4" i="18" s="1"/>
  <c r="C3" i="18"/>
  <c r="D3" i="18" s="1"/>
  <c r="C2" i="18"/>
  <c r="D2" i="18" s="1"/>
  <c r="C11" i="16"/>
  <c r="D11" i="16" s="1"/>
  <c r="C12" i="16"/>
  <c r="D12" i="16" s="1"/>
  <c r="C5" i="16"/>
  <c r="D5" i="16" s="1"/>
  <c r="C4" i="16"/>
  <c r="D4" i="16" s="1"/>
  <c r="C3" i="16"/>
  <c r="D3" i="16" s="1"/>
  <c r="C2" i="16"/>
  <c r="D2" i="16" s="1"/>
  <c r="C21" i="14"/>
  <c r="D21" i="14" s="1"/>
  <c r="C22" i="14"/>
  <c r="D22" i="14" s="1"/>
  <c r="C20" i="14"/>
  <c r="D20" i="14" s="1"/>
  <c r="C13" i="14"/>
  <c r="D13" i="14" s="1"/>
  <c r="C14" i="14"/>
  <c r="D14" i="14" s="1"/>
  <c r="C15" i="14"/>
  <c r="D15" i="14" s="1"/>
  <c r="C6" i="14"/>
  <c r="D6" i="14" s="1"/>
  <c r="C7" i="14"/>
  <c r="D7" i="14" s="1"/>
  <c r="C5" i="14"/>
  <c r="D5" i="14" s="1"/>
  <c r="C4" i="14"/>
  <c r="D4" i="14" s="1"/>
  <c r="C3" i="14"/>
  <c r="D3" i="14" s="1"/>
  <c r="C9" i="13"/>
  <c r="D9" i="13" s="1"/>
  <c r="C22" i="13"/>
  <c r="D22" i="13" s="1"/>
  <c r="C21" i="13"/>
  <c r="D21" i="13" s="1"/>
  <c r="C20" i="13"/>
  <c r="D20" i="13" s="1"/>
  <c r="C15" i="13"/>
  <c r="D15" i="13" s="1"/>
  <c r="D14" i="13"/>
  <c r="C8" i="13"/>
  <c r="D8" i="13" s="1"/>
  <c r="C7" i="13"/>
  <c r="D7" i="13" s="1"/>
  <c r="C6" i="13"/>
  <c r="D6" i="13" s="1"/>
  <c r="C5" i="13"/>
  <c r="D5" i="13" s="1"/>
  <c r="C3" i="13"/>
  <c r="D3" i="13" s="1"/>
  <c r="C2" i="13"/>
  <c r="D2" i="13" s="1"/>
  <c r="C9" i="12"/>
  <c r="D9" i="12" s="1"/>
  <c r="C4" i="12"/>
  <c r="D4" i="12" s="1"/>
  <c r="C3" i="12"/>
  <c r="D3" i="12" s="1"/>
  <c r="C2" i="12"/>
  <c r="D2" i="12" s="1"/>
  <c r="C10" i="11"/>
  <c r="D10" i="11" s="1"/>
  <c r="C5" i="11"/>
  <c r="D5" i="11" s="1"/>
  <c r="C4" i="11"/>
  <c r="D4" i="11" s="1"/>
  <c r="C3" i="11"/>
  <c r="D3" i="11" s="1"/>
  <c r="C2" i="11"/>
  <c r="D2" i="11" s="1"/>
  <c r="D18" i="10"/>
  <c r="E18" i="10" s="1"/>
  <c r="D17" i="10"/>
  <c r="E17" i="10" s="1"/>
  <c r="D12" i="10"/>
  <c r="E12" i="10" s="1"/>
  <c r="D11" i="10"/>
  <c r="E11" i="10" s="1"/>
  <c r="D10" i="10"/>
  <c r="E10" i="10" s="1"/>
  <c r="D5" i="10"/>
  <c r="E5" i="10" s="1"/>
  <c r="D4" i="10"/>
  <c r="E4" i="10" s="1"/>
  <c r="D3" i="10"/>
  <c r="E3" i="10" s="1"/>
  <c r="D2" i="10"/>
  <c r="E2" i="10" s="1"/>
  <c r="C11" i="9"/>
  <c r="D11" i="9" s="1"/>
  <c r="C12" i="9"/>
  <c r="D12" i="9" s="1"/>
  <c r="C13" i="9"/>
  <c r="D13" i="9" s="1"/>
  <c r="C3" i="9"/>
  <c r="D3" i="9" s="1"/>
  <c r="C4" i="9"/>
  <c r="D4" i="9" s="1"/>
  <c r="C5" i="9"/>
  <c r="D5" i="9" s="1"/>
  <c r="C6" i="9"/>
  <c r="D6" i="9" s="1"/>
  <c r="C2" i="9"/>
  <c r="D2" i="9" s="1"/>
  <c r="C13" i="8"/>
  <c r="D13" i="8" s="1"/>
  <c r="C14" i="8"/>
  <c r="D14" i="8" s="1"/>
  <c r="C15" i="8"/>
  <c r="D15" i="8" s="1"/>
  <c r="C12" i="8"/>
  <c r="D12" i="8" s="1"/>
  <c r="C3" i="8"/>
  <c r="D3" i="8" s="1"/>
  <c r="C4" i="8"/>
  <c r="D4" i="8" s="1"/>
  <c r="C5" i="8"/>
  <c r="D5" i="8" s="1"/>
  <c r="C6" i="8"/>
  <c r="D6" i="8" s="1"/>
  <c r="C7" i="8"/>
  <c r="D7" i="8" s="1"/>
  <c r="C2" i="8"/>
  <c r="D2" i="8" s="1"/>
  <c r="C25" i="3"/>
  <c r="D25" i="3" s="1"/>
  <c r="C26" i="3"/>
  <c r="C27" i="3"/>
  <c r="D27" i="3" s="1"/>
  <c r="C21" i="3"/>
  <c r="C22" i="3"/>
  <c r="D22" i="3" s="1"/>
  <c r="C23" i="3"/>
  <c r="C24" i="3"/>
  <c r="D24" i="3" s="1"/>
  <c r="D23" i="3"/>
  <c r="D21" i="3"/>
  <c r="C5" i="3" l="1"/>
  <c r="D5" i="3" s="1"/>
  <c r="C6" i="3"/>
  <c r="D6" i="3" s="1"/>
  <c r="C7" i="3"/>
  <c r="D7" i="3" s="1"/>
  <c r="C8" i="3"/>
  <c r="D8" i="3" s="1"/>
  <c r="C9" i="3"/>
  <c r="D9" i="3" s="1"/>
  <c r="C10" i="3"/>
  <c r="D10" i="3" s="1"/>
  <c r="C11" i="3"/>
  <c r="D11" i="3" s="1"/>
  <c r="C12" i="3"/>
  <c r="D12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20" i="3"/>
  <c r="D20" i="3" s="1"/>
  <c r="C4" i="3"/>
  <c r="D4" i="3" s="1"/>
  <c r="C3" i="3"/>
  <c r="D3" i="3" s="1"/>
  <c r="C2" i="3"/>
  <c r="D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tc={052A70D8-4F2D-4630-AB32-9D4B5C8F2D4F}</author>
    <author>tc={7E1EC94A-7B9A-4F0C-BF00-35F510F94A14}</author>
    <author>tc={F5877CDD-A166-4649-9499-EF9DAE1B318C}</author>
    <author>tc={D8721EF7-8F8A-4CF9-A81C-1B8F7F53FDCA}</author>
    <author>tc={E02E652E-AF4C-42B3-955D-E8639ACBD8E0}</author>
    <author>tc={D5AF4384-C6D2-4886-8A69-F71341973CCB}</author>
    <author>tc={EF3CF2EC-D4DC-4EB7-8636-628951245828}</author>
    <author>tc={D356A13E-9528-447C-8539-E9A9DE115234}</author>
    <author>tc={D0B752D1-CFF5-4848-B47A-1571D8313A49}</author>
    <author>tc={EC6F85FB-3E2D-4864-8B25-E958FEA99120}</author>
    <author>tc={F058FF22-F1EC-475D-A210-7A4B49124328}</author>
    <author>tc={2B1970F3-C1B1-4941-AB4C-95B4B67B5004}</author>
    <author>tc={BF50751E-4B68-4D50-A446-73F6AFA7D73C}</author>
    <author>tc={9FC8880C-1391-4FFA-BE47-8484ADA589F0}</author>
    <author>tc={0AAC2F6E-08C3-4701-87C6-6A8315F95297}</author>
    <author>tc={26A02E31-E11C-47BA-8C26-0F53CF6AB7FE}</author>
    <author>tc={25CC7F9B-549D-425E-AA84-5DDA1BBA3286}</author>
    <author>tc={43DF36FF-0C1C-4C0D-947E-139D2AD73FE3}</author>
    <author>tc={A2A41E56-91F5-4A45-A473-D4BEAB4EE5C7}</author>
  </authors>
  <commentList>
    <comment ref="A1" authorId="0" shapeId="0" xr:uid="{052A70D8-4F2D-4630-AB32-9D4B5C8F2D4F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" authorId="1" shapeId="0" xr:uid="{7E1EC94A-7B9A-4F0C-BF00-35F510F94A14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" authorId="2" shapeId="0" xr:uid="{F5877CDD-A166-4649-9499-EF9DAE1B318C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" authorId="3" shapeId="0" xr:uid="{D8721EF7-8F8A-4CF9-A81C-1B8F7F53FDCA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" authorId="4" shapeId="0" xr:uid="{E02E652E-AF4C-42B3-955D-E8639ACBD8E0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" authorId="5" shapeId="0" xr:uid="{D5AF4384-C6D2-4886-8A69-F71341973CCB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" authorId="6" shapeId="0" xr:uid="{EF3CF2EC-D4DC-4EB7-8636-6289512458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" authorId="7" shapeId="0" xr:uid="{D356A13E-9528-447C-8539-E9A9DE115234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" authorId="8" shapeId="0" xr:uid="{D0B752D1-CFF5-4848-B47A-1571D8313A49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  <comment ref="G50" authorId="9" shapeId="0" xr:uid="{EC6F85FB-3E2D-4864-8B25-E958FEA99120}">
      <text>
        <t>[Threaded comment]
Your version of Excel allows you to read this threaded comment; however, any edits to it will get removed if the file is opened in a newer version of Excel. Learn more: https://go.microsoft.com/fwlink/?linkid=870924
Comment:
    Creo que se podría construir como los mensajes 3,4,5,6. Ejm:
Se registró de forma exitosa ${0} ${1}(La Empresa, El Modelo, El Usuario) Donde ${0}: Corresponde al artículo "el" o "la", dependiendo de la entidad registrada
${1}: Corresponde al nombre de la entidad registrada El nombre mostrado no debe ser técnico, sino en lenguaje ubicuo</t>
      </text>
    </comment>
    <comment ref="G62" authorId="10" shapeId="0" xr:uid="{F058FF22-F1EC-475D-A210-7A4B49124328}">
      <text>
        <t>[Threaded comment]
Your version of Excel allows you to read this threaded comment; however, any edits to it will get removed if the file is opened in a newer version of Excel. Learn more: https://go.microsoft.com/fwlink/?linkid=870924
Comment:
    Igual que el anterior</t>
      </text>
    </comment>
    <comment ref="G64" authorId="11" shapeId="0" xr:uid="{2B1970F3-C1B1-4941-AB4C-95B4B67B5004}">
      <text>
        <t>[Threaded comment]
Your version of Excel allows you to read this threaded comment; however, any edits to it will get removed if the file is opened in a newer version of Excel. Learn more: https://go.microsoft.com/fwlink/?linkid=870924
Comment:
    Igual que el anterior</t>
      </text>
    </comment>
    <comment ref="G67" authorId="12" shapeId="0" xr:uid="{BF50751E-4B68-4D50-A446-73F6AFA7D73C}">
      <text>
        <t>[Threaded comment]
Your version of Excel allows you to read this threaded comment; however, any edits to it will get removed if the file is opened in a newer version of Excel. Learn more: https://go.microsoft.com/fwlink/?linkid=870924
Comment:
    Igual que el anterior</t>
      </text>
    </comment>
    <comment ref="G82" authorId="13" shapeId="0" xr:uid="{9FC8880C-1391-4FFA-BE47-8484ADA589F0}">
      <text>
        <t>[Threaded comment]
Your version of Excel allows you to read this threaded comment; however, any edits to it will get removed if the file is opened in a newer version of Excel. Learn more: https://go.microsoft.com/fwlink/?linkid=870924
Comment:
    Creo que se podría construir como los mensajes 3,4,5,6. Ejm:
Se registró de forma exitosa ${0} ${1}(La Empresa, El Modelo, El Usuario) Donde ${0}: Corresponde al artículo "el" o "la", dependiendo de la entidad registrada
${1}: Corresponde al nombre de la entidad registrada El nombre mostrado no debe ser técnico, sino en lenguaje ubicuo</t>
      </text>
    </comment>
    <comment ref="G83" authorId="14" shapeId="0" xr:uid="{0AAC2F6E-08C3-4701-87C6-6A8315F95297}">
      <text>
        <t>[Threaded comment]
Your version of Excel allows you to read this threaded comment; however, any edits to it will get removed if the file is opened in a newer version of Excel. Learn more: https://go.microsoft.com/fwlink/?linkid=870924
Comment:
    Igual que el anterior</t>
      </text>
    </comment>
    <comment ref="G85" authorId="15" shapeId="0" xr:uid="{26A02E31-E11C-47BA-8C26-0F53CF6AB7FE}">
      <text>
        <t>[Threaded comment]
Your version of Excel allows you to read this threaded comment; however, any edits to it will get removed if the file is opened in a newer version of Excel. Learn more: https://go.microsoft.com/fwlink/?linkid=870924
Comment:
    Igual que el anterior</t>
      </text>
    </comment>
    <comment ref="G133" authorId="16" shapeId="0" xr:uid="{25CC7F9B-549D-425E-AA84-5DDA1BBA3286}">
      <text>
        <t>[Threaded comment]
Your version of Excel allows you to read this threaded comment; however, any edits to it will get removed if the file is opened in a newer version of Excel. Learn more: https://go.microsoft.com/fwlink/?linkid=870924
Comment:
    Creo que se podría construir como los mensajes 3,4,5,6. Ejm:
Se registró de forma exitosa ${0} ${1}(La Empresa, El Modelo, El Usuario) Donde ${0}: Corresponde al artículo "el" o "la", dependiendo de la entidad registrada
${1}: Corresponde al nombre de la entidad registrada El nombre mostrado no debe ser técnico, sino en lenguaje ubicuo</t>
      </text>
    </comment>
    <comment ref="G265" authorId="17" shapeId="0" xr:uid="{43DF36FF-0C1C-4C0D-947E-139D2AD73FE3}">
      <text>
        <t>[Threaded comment]
Your version of Excel allows you to read this threaded comment; however, any edits to it will get removed if the file is opened in a newer version of Excel. Learn more: https://go.microsoft.com/fwlink/?linkid=870924
Comment:
    Creo que se podría construir como los mensajes 3,4,5,6. Ejm:
Se registró de forma exitosa ${0} ${1}(La Empresa, El Modelo, El Usuario) Donde ${0}: Corresponde al artículo "el" o "la", dependiendo de la entidad registrada
${1}: Corresponde al nombre de la entidad registrada El nombre mostrado no debe ser técnico, sino en lenguaje ubicuo</t>
      </text>
    </comment>
    <comment ref="G266" authorId="18" shapeId="0" xr:uid="{A2A41E56-91F5-4A45-A473-D4BEAB4EE5C7}">
      <text>
        <t>[Threaded comment]
Your version of Excel allows you to read this threaded comment; however, any edits to it will get removed if the file is opened in a newer version of Excel. Learn more: https://go.microsoft.com/fwlink/?linkid=870924
Comment:
    Igual que el anterior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tc={70DA5B40-8556-459D-95F7-FC01BB29EA2E}</author>
    <author>tc={B5539C2B-8738-4819-B33B-D512C79FD59D}</author>
    <author>tc={1104CCC0-1622-4461-88B7-86AE9F95687F}</author>
    <author>tc={9AFAE8F5-A237-4B41-B657-FE814F24ED3A}</author>
    <author>tc={A9F401AD-02FC-4250-A26E-643939DB5194}</author>
    <author>tc={D027E011-4349-41D1-8A43-4C2774C4C195}</author>
    <author>tc={DEC8F3F7-89A3-4FC1-B0E2-2B99FB00DE0B}</author>
    <author>tc={6B76C029-0795-442A-B698-12FFCF899061}</author>
    <author>tc={AFAA18BA-9FA5-4354-84D4-3C6026269559}</author>
  </authors>
  <commentList>
    <comment ref="A1" authorId="0" shapeId="0" xr:uid="{70DA5B40-8556-459D-95F7-FC01BB29EA2E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" authorId="1" shapeId="0" xr:uid="{B5539C2B-8738-4819-B33B-D512C79FD59D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" authorId="2" shapeId="0" xr:uid="{1104CCC0-1622-4461-88B7-86AE9F95687F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" authorId="3" shapeId="0" xr:uid="{9AFAE8F5-A237-4B41-B657-FE814F24ED3A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" authorId="4" shapeId="0" xr:uid="{A9F401AD-02FC-4250-A26E-643939DB5194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" authorId="5" shapeId="0" xr:uid="{D027E011-4349-41D1-8A43-4C2774C4C195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" authorId="6" shapeId="0" xr:uid="{DEC8F3F7-89A3-4FC1-B0E2-2B99FB00DE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" authorId="7" shapeId="0" xr:uid="{6B76C029-0795-442A-B698-12FFCF899061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" authorId="8" shapeId="0" xr:uid="{AFAA18BA-9FA5-4354-84D4-3C6026269559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tc={F2200A12-515B-40C4-96DF-C7858DD7E7B1}</author>
    <author>tc={92CDCC27-D13E-4941-9748-F4338F53F827}</author>
    <author>tc={851C6530-7CC6-4FAF-9BF4-006D0648474D}</author>
    <author>tc={45641CF3-D6AA-4F1C-A216-81E4568B7AA0}</author>
    <author>tc={C0E9A6BF-5D7F-4082-8217-97B2C642F11C}</author>
    <author>tc={BD845ED5-F7BE-4102-9809-7AF90B1A2788}</author>
    <author>tc={68915EE2-9506-4110-AED8-D6F1DECDB1C7}</author>
    <author>tc={1FFCFD87-FA9F-44B2-A55C-247DB235B99C}</author>
    <author>tc={CB09CD73-8047-4ABE-9407-0310A30F6396}</author>
    <author>tc={A4FDD923-8EDC-4007-A462-40861E6846F6}</author>
    <author>tc={42144C9F-160B-4494-B1D4-B2E3E814E3D0}</author>
    <author>tc={84A13ECC-15F1-499B-B4F8-94E394573BC4}</author>
    <author>tc={6E2BE58B-1D3B-46D2-A767-0D0FB4A995AB}</author>
    <author>tc={AC447DA3-5541-4DBA-962B-853F97CAAF73}</author>
    <author>tc={18E7D956-AF98-403F-BEA4-2645DF2DAC46}</author>
    <author>tc={63882107-AFE8-4FAD-986D-565D7CF3BF1C}</author>
    <author>tc={C516ECD9-1503-4FB7-9C70-2587B69FDF97}</author>
    <author>tc={C0CD1252-09CE-4A5E-AA10-B9D080573944}</author>
  </authors>
  <commentList>
    <comment ref="A1" authorId="0" shapeId="0" xr:uid="{F2200A12-515B-40C4-96DF-C7858DD7E7B1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" authorId="1" shapeId="0" xr:uid="{92CDCC27-D13E-4941-9748-F4338F53F827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" authorId="2" shapeId="0" xr:uid="{851C6530-7CC6-4FAF-9BF4-006D0648474D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" authorId="3" shapeId="0" xr:uid="{45641CF3-D6AA-4F1C-A216-81E4568B7AA0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" authorId="4" shapeId="0" xr:uid="{C0E9A6BF-5D7F-4082-8217-97B2C642F11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" authorId="5" shapeId="0" xr:uid="{BD845ED5-F7BE-4102-9809-7AF90B1A2788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" authorId="6" shapeId="0" xr:uid="{68915EE2-9506-4110-AED8-D6F1DECDB1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" authorId="7" shapeId="0" xr:uid="{1FFCFD87-FA9F-44B2-A55C-247DB235B99C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" authorId="8" shapeId="0" xr:uid="{CB09CD73-8047-4ABE-9407-0310A30F6396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  <comment ref="A11" authorId="9" shapeId="0" xr:uid="{A4FDD923-8EDC-4007-A462-40861E6846F6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1" authorId="10" shapeId="0" xr:uid="{42144C9F-160B-4494-B1D4-B2E3E814E3D0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1" authorId="11" shapeId="0" xr:uid="{84A13ECC-15F1-499B-B4F8-94E394573BC4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1" authorId="12" shapeId="0" xr:uid="{6E2BE58B-1D3B-46D2-A767-0D0FB4A995AB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1" authorId="13" shapeId="0" xr:uid="{AC447DA3-5541-4DBA-962B-853F97CAAF73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1" authorId="14" shapeId="0" xr:uid="{18E7D956-AF98-403F-BEA4-2645DF2DAC46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1" authorId="15" shapeId="0" xr:uid="{63882107-AFE8-4FAD-986D-565D7CF3BF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1" authorId="16" shapeId="0" xr:uid="{C516ECD9-1503-4FB7-9C70-2587B69FDF97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1" authorId="17" shapeId="0" xr:uid="{C0CD1252-09CE-4A5E-AA10-B9D080573944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tc={0F72B070-E4A4-48C2-A63A-9EBFF4A1C507}</author>
    <author>tc={E1311C97-A6D3-4161-AC05-9D73A4210537}</author>
    <author>tc={1429B10F-44FA-4967-B85F-8B54CA418799}</author>
    <author>tc={BAF41CF2-79DD-45C9-A1C4-1C182397D655}</author>
    <author>tc={B3E52752-7659-414D-8286-982718472498}</author>
    <author>tc={EB9A6ABD-2B11-41FA-9F92-96836BF1F2F7}</author>
    <author>tc={5F1AC7D3-0EB7-4494-9DC5-80D475B54373}</author>
    <author>tc={127FEFBB-2ED5-4FCF-ACFD-FBF1014C0D4B}</author>
    <author>tc={5CC55511-B274-42A1-AE65-DD23FA82BF51}</author>
    <author>tc={E52C12D3-1E6D-472B-93A8-D843800499E9}</author>
    <author>tc={F0C477FA-E111-404C-A8E6-F33591BC33EE}</author>
    <author>tc={485F9761-A5AC-4AF4-8D32-BD881C2EC5A4}</author>
    <author>tc={814F2E43-05FF-407D-9CA4-464B147922D1}</author>
    <author>tc={365B0961-9988-4E00-8098-397F9F3F6B89}</author>
    <author>tc={D3DB93DE-1E44-45FE-9AC2-51459FF65AC8}</author>
    <author>tc={085BAEBE-8E0C-437E-BF2E-2B62D94C95F2}</author>
    <author>tc={84766A1D-2C7D-4A3A-A531-59E100ACD810}</author>
    <author>tc={828717A4-6D94-4FE7-9A77-F2D721811BDC}</author>
  </authors>
  <commentList>
    <comment ref="A1" authorId="0" shapeId="0" xr:uid="{0F72B070-E4A4-48C2-A63A-9EBFF4A1C507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" authorId="1" shapeId="0" xr:uid="{E1311C97-A6D3-4161-AC05-9D73A4210537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" authorId="2" shapeId="0" xr:uid="{1429B10F-44FA-4967-B85F-8B54CA418799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" authorId="3" shapeId="0" xr:uid="{BAF41CF2-79DD-45C9-A1C4-1C182397D655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" authorId="4" shapeId="0" xr:uid="{B3E52752-7659-414D-8286-982718472498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" authorId="5" shapeId="0" xr:uid="{EB9A6ABD-2B11-41FA-9F92-96836BF1F2F7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" authorId="6" shapeId="0" xr:uid="{5F1AC7D3-0EB7-4494-9DC5-80D475B543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" authorId="7" shapeId="0" xr:uid="{127FEFBB-2ED5-4FCF-ACFD-FBF1014C0D4B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" authorId="8" shapeId="0" xr:uid="{5CC55511-B274-42A1-AE65-DD23FA82BF51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  <comment ref="A10" authorId="9" shapeId="0" xr:uid="{E52C12D3-1E6D-472B-93A8-D843800499E9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0" authorId="10" shapeId="0" xr:uid="{F0C477FA-E111-404C-A8E6-F33591BC33EE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0" authorId="11" shapeId="0" xr:uid="{485F9761-A5AC-4AF4-8D32-BD881C2EC5A4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0" authorId="12" shapeId="0" xr:uid="{814F2E43-05FF-407D-9CA4-464B147922D1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0" authorId="13" shapeId="0" xr:uid="{365B0961-9988-4E00-8098-397F9F3F6B89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0" authorId="14" shapeId="0" xr:uid="{D3DB93DE-1E44-45FE-9AC2-51459FF65AC8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0" authorId="15" shapeId="0" xr:uid="{085BAEBE-8E0C-437E-BF2E-2B62D94C95F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0" authorId="16" shapeId="0" xr:uid="{84766A1D-2C7D-4A3A-A531-59E100ACD810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0" authorId="17" shapeId="0" xr:uid="{828717A4-6D94-4FE7-9A77-F2D721811BDC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tc={E7F2B57D-52FD-47C0-86EE-3773202B67CF}</author>
    <author>tc={372FD4AA-D875-4F0D-811B-F0ACCE0D1EC5}</author>
    <author>tc={6EDAC5DB-BDEE-45B9-8741-3DBC21691057}</author>
    <author>tc={E9F78B9B-DDD1-4001-8AB8-F113CED95CB7}</author>
    <author>tc={FC850E0E-C79B-42F8-96BB-0994F668A47F}</author>
    <author>tc={93F11D36-086A-4CC5-BD2B-7791C301E9F3}</author>
    <author>tc={9AEBCC82-B84A-4CD2-A010-86F8C419CCCC}</author>
    <author>tc={9F6D343C-5FCF-431D-B6CE-4ACF1CCA8D18}</author>
    <author>tc={EAEC4BA0-713F-4282-A990-F3F581352C6C}</author>
    <author>tc={0CB6C402-A8A1-4E81-B454-1B4F22266974}</author>
    <author>tc={CEB6EE7B-DD6F-4527-9169-71A9C110E848}</author>
    <author>tc={39C6A14A-CD1E-40E1-A93F-EDA681A28328}</author>
    <author>tc={3A7EA898-2E0B-4F7A-839D-0DC885164981}</author>
    <author>tc={C618AEF8-77A0-4F63-B9D9-2607A8BC13A8}</author>
    <author>tc={5C5E5890-0323-4914-805A-1C4D77B1D444}</author>
    <author>tc={E320BD68-CA19-46B2-8B53-F26E7B43093A}</author>
    <author>tc={CCF36744-3C76-4E24-B758-B062D85A968C}</author>
    <author>tc={45F44A61-AC75-4923-9192-E300B732C86E}</author>
    <author>tc={4EE408FF-FA8F-4276-B040-5E4EA68B226B}</author>
    <author>tc={3029677E-C9A8-4CE4-B1C4-C8F950CD05BA}</author>
    <author>tc={8B2A6A2B-17F2-41D3-9832-D5A8D134CAFB}</author>
    <author>tc={A426449F-CF19-4048-BF7A-0E0F1F04C0FD}</author>
    <author>tc={9F9DE788-05D9-4606-BAA0-E6480A8380FF}</author>
    <author>tc={64C0BB3E-A2DD-4C8C-8C0B-64EC06B682B7}</author>
    <author>tc={2311FBF4-8AE1-4B6C-8379-5DE13474BD8C}</author>
    <author>tc={A2379FB8-39F9-4ADB-80F0-C995973778CF}</author>
    <author>tc={36283570-1756-4E44-8DD3-DC1201403738}</author>
  </authors>
  <commentList>
    <comment ref="A1" authorId="0" shapeId="0" xr:uid="{E7F2B57D-52FD-47C0-86EE-3773202B67CF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" authorId="1" shapeId="0" xr:uid="{372FD4AA-D875-4F0D-811B-F0ACCE0D1EC5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D1" authorId="2" shapeId="0" xr:uid="{6EDAC5DB-BDEE-45B9-8741-3DBC21691057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E1" authorId="3" shapeId="0" xr:uid="{E9F78B9B-DDD1-4001-8AB8-F113CED95CB7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F1" authorId="4" shapeId="0" xr:uid="{FC850E0E-C79B-42F8-96BB-0994F668A47F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G1" authorId="5" shapeId="0" xr:uid="{93F11D36-086A-4CC5-BD2B-7791C301E9F3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H1" authorId="6" shapeId="0" xr:uid="{9AEBCC82-B84A-4CD2-A010-86F8C419CC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I1" authorId="7" shapeId="0" xr:uid="{9F6D343C-5FCF-431D-B6CE-4ACF1CCA8D18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J1" authorId="8" shapeId="0" xr:uid="{EAEC4BA0-713F-4282-A990-F3F581352C6C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  <comment ref="A9" authorId="9" shapeId="0" xr:uid="{0CB6C402-A8A1-4E81-B454-1B4F22266974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9" authorId="10" shapeId="0" xr:uid="{CEB6EE7B-DD6F-4527-9169-71A9C110E848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D9" authorId="11" shapeId="0" xr:uid="{39C6A14A-CD1E-40E1-A93F-EDA681A28328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E9" authorId="12" shapeId="0" xr:uid="{3A7EA898-2E0B-4F7A-839D-0DC885164981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F9" authorId="13" shapeId="0" xr:uid="{C618AEF8-77A0-4F63-B9D9-2607A8BC13A8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G9" authorId="14" shapeId="0" xr:uid="{5C5E5890-0323-4914-805A-1C4D77B1D444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H9" authorId="15" shapeId="0" xr:uid="{E320BD68-CA19-46B2-8B53-F26E7B4309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I9" authorId="16" shapeId="0" xr:uid="{CCF36744-3C76-4E24-B758-B062D85A968C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J9" authorId="17" shapeId="0" xr:uid="{45F44A61-AC75-4923-9192-E300B732C86E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  <comment ref="A16" authorId="18" shapeId="0" xr:uid="{4EE408FF-FA8F-4276-B040-5E4EA68B226B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6" authorId="19" shapeId="0" xr:uid="{3029677E-C9A8-4CE4-B1C4-C8F950CD05BA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D16" authorId="20" shapeId="0" xr:uid="{8B2A6A2B-17F2-41D3-9832-D5A8D134CAFB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E16" authorId="21" shapeId="0" xr:uid="{A426449F-CF19-4048-BF7A-0E0F1F04C0FD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F16" authorId="22" shapeId="0" xr:uid="{9F9DE788-05D9-4606-BAA0-E6480A8380FF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G16" authorId="23" shapeId="0" xr:uid="{64C0BB3E-A2DD-4C8C-8C0B-64EC06B682B7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H16" authorId="24" shapeId="0" xr:uid="{2311FBF4-8AE1-4B6C-8379-5DE13474BD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I16" authorId="25" shapeId="0" xr:uid="{A2379FB8-39F9-4ADB-80F0-C995973778CF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J16" authorId="26" shapeId="0" xr:uid="{36283570-1756-4E44-8DD3-DC1201403738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tc={BCA0B3B8-3E44-4AAA-9B6A-1395C507756B}</author>
    <author>tc={438E968E-215A-41C8-A413-2A85417DD4BC}</author>
    <author>tc={AA476B56-EBD8-41B1-86FB-7FC56DADDEF4}</author>
    <author>tc={126E0035-ED94-421F-A5EB-3FF6593D41FB}</author>
    <author>tc={F752D909-9636-40D3-8C0C-710A7A9A6629}</author>
    <author>tc={9F6385B1-4708-424C-B3D4-AC8AA674F930}</author>
    <author>tc={2595A29B-320E-482F-BDE0-0100B3120750}</author>
    <author>tc={E73B00EC-7F91-47B5-A8F7-3268419933F0}</author>
    <author>tc={CF0DD12E-72EE-4923-A7C7-4D3395AD19C1}</author>
    <author>tc={2E47C843-3B66-47E9-8097-87AC6A42F8E5}</author>
    <author>tc={0F4BC189-D1D1-4836-B307-A9EA26DE0135}</author>
    <author>tc={0AA3396F-BE16-4ADF-9674-E773F62C7E1B}</author>
    <author>tc={6857AEEB-14C2-487E-92C2-E17560FC0B56}</author>
    <author>tc={8158A239-28C4-4D2A-BCDE-9B4510D6C12E}</author>
    <author>tc={6ADC6706-EC6F-4AEC-8C02-04E1ADF89BB4}</author>
    <author>tc={38BAFA79-CAB8-46BC-816B-4805C68768AF}</author>
    <author>tc={1B30E58B-FECC-4AAF-B8D0-74804EB26741}</author>
    <author>tc={9CA875A2-831B-45D7-A007-84D949A1889C}</author>
    <author>tc={642F5E48-FF17-4C95-B3A2-93F01C2A9B55}</author>
    <author>tc={E56DE902-6C69-4E42-8005-CB84EB36A410}</author>
    <author>tc={393D97F6-654A-4EC0-8C2A-807FD1A01341}</author>
    <author>tc={F353F4CA-283D-4EB9-8756-CFB9AD564238}</author>
    <author>tc={8B536A11-F29D-4904-A248-1C49FD73942E}</author>
    <author>tc={02B45E0C-0E6E-4222-8EED-4590C0807C49}</author>
    <author>tc={3B09C944-0CE6-4486-8448-A0D2BDA3901E}</author>
    <author>tc={CF663541-7347-49F6-A301-FE5E4105316A}</author>
    <author>tc={099A6A2D-7F2A-4804-8855-6AA98F01FA7B}</author>
  </authors>
  <commentList>
    <comment ref="A1" authorId="0" shapeId="0" xr:uid="{BCA0B3B8-3E44-4AAA-9B6A-1395C507756B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" authorId="1" shapeId="0" xr:uid="{438E968E-215A-41C8-A413-2A85417DD4BC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" authorId="2" shapeId="0" xr:uid="{AA476B56-EBD8-41B1-86FB-7FC56DADDEF4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" authorId="3" shapeId="0" xr:uid="{126E0035-ED94-421F-A5EB-3FF6593D41FB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" authorId="4" shapeId="0" xr:uid="{F752D909-9636-40D3-8C0C-710A7A9A6629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" authorId="5" shapeId="0" xr:uid="{9F6385B1-4708-424C-B3D4-AC8AA674F930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" authorId="6" shapeId="0" xr:uid="{2595A29B-320E-482F-BDE0-0100B31207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" authorId="7" shapeId="0" xr:uid="{E73B00EC-7F91-47B5-A8F7-3268419933F0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" authorId="8" shapeId="0" xr:uid="{CF0DD12E-72EE-4923-A7C7-4D3395AD19C1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  <comment ref="A13" authorId="9" shapeId="0" xr:uid="{2E47C843-3B66-47E9-8097-87AC6A42F8E5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3" authorId="10" shapeId="0" xr:uid="{0F4BC189-D1D1-4836-B307-A9EA26DE0135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3" authorId="11" shapeId="0" xr:uid="{0AA3396F-BE16-4ADF-9674-E773F62C7E1B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3" authorId="12" shapeId="0" xr:uid="{6857AEEB-14C2-487E-92C2-E17560FC0B56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3" authorId="13" shapeId="0" xr:uid="{8158A239-28C4-4D2A-BCDE-9B4510D6C12E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3" authorId="14" shapeId="0" xr:uid="{6ADC6706-EC6F-4AEC-8C02-04E1ADF89BB4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3" authorId="15" shapeId="0" xr:uid="{38BAFA79-CAB8-46BC-816B-4805C68768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3" authorId="16" shapeId="0" xr:uid="{1B30E58B-FECC-4AAF-B8D0-74804EB26741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3" authorId="17" shapeId="0" xr:uid="{9CA875A2-831B-45D7-A007-84D949A1889C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  <comment ref="A19" authorId="18" shapeId="0" xr:uid="{642F5E48-FF17-4C95-B3A2-93F01C2A9B55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9" authorId="19" shapeId="0" xr:uid="{E56DE902-6C69-4E42-8005-CB84EB36A410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9" authorId="20" shapeId="0" xr:uid="{393D97F6-654A-4EC0-8C2A-807FD1A01341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9" authorId="21" shapeId="0" xr:uid="{F353F4CA-283D-4EB9-8756-CFB9AD564238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9" authorId="22" shapeId="0" xr:uid="{8B536A11-F29D-4904-A248-1C49FD73942E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9" authorId="23" shapeId="0" xr:uid="{02B45E0C-0E6E-4222-8EED-4590C0807C49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9" authorId="24" shapeId="0" xr:uid="{3B09C944-0CE6-4486-8448-A0D2BDA390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9" authorId="25" shapeId="0" xr:uid="{CF663541-7347-49F6-A301-FE5E4105316A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9" authorId="26" shapeId="0" xr:uid="{099A6A2D-7F2A-4804-8855-6AA98F01FA7B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tc={06E59F6A-6F00-447C-B7C7-41F7124E3E92}</author>
    <author>tc={DA239A65-8301-4DBC-9327-E4DAEEE5751A}</author>
    <author>tc={27545740-5A84-4D84-9CFB-974FA3F29DBF}</author>
    <author>tc={D0BDF33D-81EA-426B-AADC-649E266069E3}</author>
    <author>tc={B0DDA815-A269-4AD5-8BCF-1924B5CF95D0}</author>
    <author>tc={C83D0F41-B359-4DC2-A5D5-585F686057C4}</author>
    <author>tc={701F987C-0177-4F41-8396-374B3EBEA484}</author>
    <author>tc={EFD670FF-DC16-4AB4-A5E3-BDCE90A4ED6A}</author>
    <author>tc={89E60813-054B-4B56-92EB-177A1352BA19}</author>
    <author>tc={8D8B3509-9F7A-4B21-970D-3FE790BBF684}</author>
    <author>tc={3F8BE391-F67A-47CA-8740-721243C6E0A7}</author>
    <author>tc={2BB3BC43-72BF-4B4E-9A36-94E1E8006F94}</author>
    <author>tc={F0046FEE-C759-42FF-8EA9-BE42342BF425}</author>
    <author>tc={190F68BC-4070-4D29-A326-80BE17AB6CD5}</author>
    <author>tc={DC2065BF-5D71-483C-B107-FC87246ACBAA}</author>
    <author>tc={A8C3A940-02AC-464F-8BE0-DA6F4EB8C7DF}</author>
    <author>tc={17081173-AEB0-4EF6-BD8C-A54F8C498D2D}</author>
    <author>tc={A41B9891-0376-4E6F-8D16-F790510C4DDA}</author>
  </authors>
  <commentList>
    <comment ref="A1" authorId="0" shapeId="0" xr:uid="{06E59F6A-6F00-447C-B7C7-41F7124E3E92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" authorId="1" shapeId="0" xr:uid="{DA239A65-8301-4DBC-9327-E4DAEEE5751A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" authorId="2" shapeId="0" xr:uid="{27545740-5A84-4D84-9CFB-974FA3F29DBF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" authorId="3" shapeId="0" xr:uid="{D0BDF33D-81EA-426B-AADC-649E266069E3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" authorId="4" shapeId="0" xr:uid="{B0DDA815-A269-4AD5-8BCF-1924B5CF95D0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" authorId="5" shapeId="0" xr:uid="{C83D0F41-B359-4DC2-A5D5-585F686057C4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" authorId="6" shapeId="0" xr:uid="{701F987C-0177-4F41-8396-374B3EBEA4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" authorId="7" shapeId="0" xr:uid="{EFD670FF-DC16-4AB4-A5E3-BDCE90A4ED6A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" authorId="8" shapeId="0" xr:uid="{89E60813-054B-4B56-92EB-177A1352BA19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  <comment ref="A9" authorId="9" shapeId="0" xr:uid="{8D8B3509-9F7A-4B21-970D-3FE790BBF684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9" authorId="10" shapeId="0" xr:uid="{3F8BE391-F67A-47CA-8740-721243C6E0A7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9" authorId="11" shapeId="0" xr:uid="{2BB3BC43-72BF-4B4E-9A36-94E1E8006F94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9" authorId="12" shapeId="0" xr:uid="{F0046FEE-C759-42FF-8EA9-BE42342BF425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9" authorId="13" shapeId="0" xr:uid="{190F68BC-4070-4D29-A326-80BE17AB6CD5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9" authorId="14" shapeId="0" xr:uid="{DC2065BF-5D71-483C-B107-FC87246ACBAA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9" authorId="15" shapeId="0" xr:uid="{A8C3A940-02AC-464F-8BE0-DA6F4EB8C7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9" authorId="16" shapeId="0" xr:uid="{17081173-AEB0-4EF6-BD8C-A54F8C498D2D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9" authorId="17" shapeId="0" xr:uid="{A41B9891-0376-4E6F-8D16-F790510C4DDA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tc={668B3063-5273-49D8-9B02-01B990C9E19A}</author>
    <author>tc={40CC2325-EA5B-45F8-8C3B-C5934624B08B}</author>
    <author>tc={F113B605-6D63-4CEF-A493-CC79331D542F}</author>
    <author>tc={BECC06FA-07C4-42E1-9D2A-72A405483B4A}</author>
    <author>tc={F2DC64D7-0570-4BBA-A56E-BD66812F5840}</author>
    <author>tc={E1AA9C16-601B-4576-8ECE-BB76225C5012}</author>
    <author>tc={A9C2D754-8F22-4485-8804-2B14F6E3AABA}</author>
    <author>tc={A43C9728-24D3-4B2A-9960-6CE29A9BE56E}</author>
    <author>tc={4B172467-EB30-469D-BA01-2429FB6E7749}</author>
    <author>tc={A0758AF0-356B-4DAC-95A8-0F72AEE3CDDD}</author>
    <author>tc={BD98F41E-CE96-4DC6-AB90-1CD9910ACEE9}</author>
    <author>tc={DF011610-9309-4CFA-AF5F-0C9CC0FC8364}</author>
    <author>tc={C4D3FAB8-54F6-4FB8-A777-1694225DB103}</author>
    <author>tc={2E7BD899-7EF7-40AE-8F15-32AAB1207CA2}</author>
    <author>tc={E991BF39-1025-4ACF-86A3-5712C807D242}</author>
    <author>tc={89A0CCEE-C7D1-40CF-8D84-4694FB229E0D}</author>
    <author>tc={80142CC9-8CFC-4B80-9271-ACC83A92F3FE}</author>
    <author>tc={47C49C8A-69B9-42D4-901C-28EA82F98F46}</author>
  </authors>
  <commentList>
    <comment ref="A1" authorId="0" shapeId="0" xr:uid="{668B3063-5273-49D8-9B02-01B990C9E19A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" authorId="1" shapeId="0" xr:uid="{40CC2325-EA5B-45F8-8C3B-C5934624B08B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" authorId="2" shapeId="0" xr:uid="{F113B605-6D63-4CEF-A493-CC79331D542F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" authorId="3" shapeId="0" xr:uid="{BECC06FA-07C4-42E1-9D2A-72A405483B4A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" authorId="4" shapeId="0" xr:uid="{F2DC64D7-0570-4BBA-A56E-BD66812F5840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" authorId="5" shapeId="0" xr:uid="{E1AA9C16-601B-4576-8ECE-BB76225C5012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" authorId="6" shapeId="0" xr:uid="{A9C2D754-8F22-4485-8804-2B14F6E3AA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" authorId="7" shapeId="0" xr:uid="{A43C9728-24D3-4B2A-9960-6CE29A9BE56E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" authorId="8" shapeId="0" xr:uid="{4B172467-EB30-469D-BA01-2429FB6E7749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  <comment ref="A8" authorId="9" shapeId="0" xr:uid="{A0758AF0-356B-4DAC-95A8-0F72AEE3CDDD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8" authorId="10" shapeId="0" xr:uid="{BD98F41E-CE96-4DC6-AB90-1CD9910ACEE9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8" authorId="11" shapeId="0" xr:uid="{DF011610-9309-4CFA-AF5F-0C9CC0FC8364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8" authorId="12" shapeId="0" xr:uid="{C4D3FAB8-54F6-4FB8-A777-1694225DB103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8" authorId="13" shapeId="0" xr:uid="{2E7BD899-7EF7-40AE-8F15-32AAB1207CA2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8" authorId="14" shapeId="0" xr:uid="{E991BF39-1025-4ACF-86A3-5712C807D242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8" authorId="15" shapeId="0" xr:uid="{89A0CCEE-C7D1-40CF-8D84-4694FB229E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8" authorId="16" shapeId="0" xr:uid="{80142CC9-8CFC-4B80-9271-ACC83A92F3FE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8" authorId="17" shapeId="0" xr:uid="{47C49C8A-69B9-42D4-901C-28EA82F98F46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tc={FE622BEB-EF33-4EDF-BCAE-6BC10B863B6E}</author>
    <author>tc={EC627AD9-F3C5-4F66-BA4C-27DC54DC7864}</author>
    <author>tc={B9929E45-F662-4E63-B4D5-D1ACC91DCE1B}</author>
    <author>tc={81ECB92D-B311-451D-81D5-40A2E26B4901}</author>
    <author>tc={BF9423E3-6150-4FA2-B974-FBA1536AFE81}</author>
    <author>tc={26267D97-4390-48A8-AC7A-B64A2DECAE10}</author>
    <author>tc={72A27069-C39D-477D-9AC3-D71E8DD7920E}</author>
    <author>tc={285B7BDC-B138-4CA7-A69A-2D95C90BDB34}</author>
    <author>tc={72C09E67-F9D0-4C74-AEE5-21D168F65230}</author>
    <author>tc={D940FD67-3B8C-4911-8AC0-ED2CE6C3A173}</author>
    <author>tc={3D890F50-1AF4-45BC-9969-F09AB50D114D}</author>
    <author>tc={F883602F-0476-4B8B-9866-CBDAC7222166}</author>
    <author>tc={6E012099-7AFD-4D10-8446-BADBC63F3126}</author>
    <author>tc={3C04F7B3-5F59-4B56-B8C6-BD85F76F59D5}</author>
    <author>tc={4E68D1B2-BDA6-41EC-A845-F6B7654E48C9}</author>
    <author>tc={05968E6F-49D3-49EB-BED5-2230FB9D8DA7}</author>
    <author>tc={BB288CC4-6CAE-4DD9-BB21-E3FE1C3EF5BC}</author>
    <author>tc={0A3CCE53-9389-49FF-A032-4C015944E62D}</author>
    <author>tc={F81FC066-F019-45E0-90DA-1EC07B7E1BCB}</author>
    <author>tc={9D17F584-C211-4D57-B3ED-3C6850851E3A}</author>
    <author>tc={135634B8-43D0-4986-BDFB-B03ED7B1D320}</author>
    <author>tc={5FEF0B7F-DC9C-4CEE-9914-E15302E9B04C}</author>
    <author>tc={494152A0-B48C-4FB8-97B9-A4694BEA8C84}</author>
    <author>tc={6113E7A5-FF72-4B6A-BEF9-D1EEE867224C}</author>
    <author>tc={FFD01A26-BAA0-4B3B-B9E8-E33731A11F28}</author>
    <author>tc={D283D91B-B554-4DAF-A01D-6EA2D4D43BF7}</author>
    <author>tc={472E5333-8555-44A6-823A-A5F6E2189BF1}</author>
  </authors>
  <commentList>
    <comment ref="A1" authorId="0" shapeId="0" xr:uid="{FE622BEB-EF33-4EDF-BCAE-6BC10B863B6E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" authorId="1" shapeId="0" xr:uid="{EC627AD9-F3C5-4F66-BA4C-27DC54DC7864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" authorId="2" shapeId="0" xr:uid="{B9929E45-F662-4E63-B4D5-D1ACC91DCE1B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" authorId="3" shapeId="0" xr:uid="{81ECB92D-B311-451D-81D5-40A2E26B4901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" authorId="4" shapeId="0" xr:uid="{BF9423E3-6150-4FA2-B974-FBA1536AFE81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" authorId="5" shapeId="0" xr:uid="{26267D97-4390-48A8-AC7A-B64A2DECAE10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" authorId="6" shapeId="0" xr:uid="{72A27069-C39D-477D-9AC3-D71E8DD792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" authorId="7" shapeId="0" xr:uid="{285B7BDC-B138-4CA7-A69A-2D95C90BDB34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" authorId="8" shapeId="0" xr:uid="{72C09E67-F9D0-4C74-AEE5-21D168F65230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  <comment ref="A12" authorId="9" shapeId="0" xr:uid="{D940FD67-3B8C-4911-8AC0-ED2CE6C3A173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2" authorId="10" shapeId="0" xr:uid="{3D890F50-1AF4-45BC-9969-F09AB50D114D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2" authorId="11" shapeId="0" xr:uid="{F883602F-0476-4B8B-9866-CBDAC7222166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2" authorId="12" shapeId="0" xr:uid="{6E012099-7AFD-4D10-8446-BADBC63F3126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2" authorId="13" shapeId="0" xr:uid="{3C04F7B3-5F59-4B56-B8C6-BD85F76F59D5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2" authorId="14" shapeId="0" xr:uid="{4E68D1B2-BDA6-41EC-A845-F6B7654E48C9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2" authorId="15" shapeId="0" xr:uid="{05968E6F-49D3-49EB-BED5-2230FB9D8D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2" authorId="16" shapeId="0" xr:uid="{BB288CC4-6CAE-4DD9-BB21-E3FE1C3EF5BC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2" authorId="17" shapeId="0" xr:uid="{0A3CCE53-9389-49FF-A032-4C015944E62D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  <comment ref="A19" authorId="18" shapeId="0" xr:uid="{F81FC066-F019-45E0-90DA-1EC07B7E1BCB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9" authorId="19" shapeId="0" xr:uid="{9D17F584-C211-4D57-B3ED-3C6850851E3A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9" authorId="20" shapeId="0" xr:uid="{135634B8-43D0-4986-BDFB-B03ED7B1D320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9" authorId="21" shapeId="0" xr:uid="{5FEF0B7F-DC9C-4CEE-9914-E15302E9B04C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9" authorId="22" shapeId="0" xr:uid="{494152A0-B48C-4FB8-97B9-A4694BEA8C84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9" authorId="23" shapeId="0" xr:uid="{6113E7A5-FF72-4B6A-BEF9-D1EEE867224C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9" authorId="24" shapeId="0" xr:uid="{FFD01A26-BAA0-4B3B-B9E8-E33731A11F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9" authorId="25" shapeId="0" xr:uid="{D283D91B-B554-4DAF-A01D-6EA2D4D43BF7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9" authorId="26" shapeId="0" xr:uid="{472E5333-8555-44A6-823A-A5F6E2189BF1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tc={D89B95C6-61D9-4C95-ACFB-D6E753B78C15}</author>
    <author>tc={6A27FAE5-9CD4-4F39-8C26-42962FF97BC3}</author>
    <author>tc={F0A70FC9-DB4E-4F4E-9C82-1AE35F1ED9A0}</author>
    <author>tc={3208A374-3095-4149-BBFE-F9F245E29CC1}</author>
    <author>tc={B1B2F0EB-8065-44D3-884F-FB518CCB6DF5}</author>
    <author>tc={D6639314-6A55-4D2F-9717-C5C4D7BBB1E7}</author>
    <author>tc={CD650CD5-9A99-496F-B9FB-CA8FEEC964D6}</author>
    <author>tc={049991CA-62E5-4767-864F-4137CCEED607}</author>
    <author>tc={84BC9334-AE72-4751-865A-52C9A2CBF877}</author>
    <author>tc={0F80CACB-0343-4363-B4F1-BD1B03890524}</author>
    <author>tc={80103282-9303-4865-8054-1710404F9DD7}</author>
    <author>tc={12687C1F-403A-4574-AAEC-FC754C22CB30}</author>
    <author>tc={A0B59025-AF4D-4CB3-BEAC-2EEEF18CB8E9}</author>
    <author>tc={F1DFF690-6E4E-4DD5-9EBC-D4B7F8CC3919}</author>
    <author>tc={156C9F5B-110F-4C5F-8502-97FF49E5EF03}</author>
    <author>tc={01B85A52-E889-4CC5-A388-E208B042438F}</author>
    <author>tc={144044EA-0D57-4B9A-A640-4D340ABA50F4}</author>
    <author>tc={7B649D8F-1E5C-4050-A75E-2CE98D162937}</author>
  </authors>
  <commentList>
    <comment ref="A1" authorId="0" shapeId="0" xr:uid="{D89B95C6-61D9-4C95-ACFB-D6E753B78C15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" authorId="1" shapeId="0" xr:uid="{6A27FAE5-9CD4-4F39-8C26-42962FF97BC3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" authorId="2" shapeId="0" xr:uid="{F0A70FC9-DB4E-4F4E-9C82-1AE35F1ED9A0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" authorId="3" shapeId="0" xr:uid="{3208A374-3095-4149-BBFE-F9F245E29CC1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" authorId="4" shapeId="0" xr:uid="{B1B2F0EB-8065-44D3-884F-FB518CCB6DF5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" authorId="5" shapeId="0" xr:uid="{D6639314-6A55-4D2F-9717-C5C4D7BBB1E7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" authorId="6" shapeId="0" xr:uid="{CD650CD5-9A99-496F-B9FB-CA8FEEC964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" authorId="7" shapeId="0" xr:uid="{049991CA-62E5-4767-864F-4137CCEED607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" authorId="8" shapeId="0" xr:uid="{84BC9334-AE72-4751-865A-52C9A2CBF877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  <comment ref="A10" authorId="9" shapeId="0" xr:uid="{0F80CACB-0343-4363-B4F1-BD1B03890524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0" authorId="10" shapeId="0" xr:uid="{80103282-9303-4865-8054-1710404F9DD7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0" authorId="11" shapeId="0" xr:uid="{12687C1F-403A-4574-AAEC-FC754C22CB30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0" authorId="12" shapeId="0" xr:uid="{A0B59025-AF4D-4CB3-BEAC-2EEEF18CB8E9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0" authorId="13" shapeId="0" xr:uid="{F1DFF690-6E4E-4DD5-9EBC-D4B7F8CC3919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0" authorId="14" shapeId="0" xr:uid="{156C9F5B-110F-4C5F-8502-97FF49E5EF03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0" authorId="15" shapeId="0" xr:uid="{01B85A52-E889-4CC5-A388-E208B04243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0" authorId="16" shapeId="0" xr:uid="{144044EA-0D57-4B9A-A640-4D340ABA50F4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0" authorId="17" shapeId="0" xr:uid="{7B649D8F-1E5C-4050-A75E-2CE98D162937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tc={5C32F757-D946-4640-B8AE-C844FA6A346E}</author>
    <author>tc={9418E9E5-A8B8-460A-AD8A-9CDE7B76C8AE}</author>
    <author>tc={BDB609D7-A896-461F-A548-4C0B7177D189}</author>
    <author>tc={EE48EB49-F169-4522-8B76-E10030225D02}</author>
    <author>tc={E97D6592-15EE-4C41-A90F-5EFAB64ECF70}</author>
    <author>tc={CB8A864B-EC4B-413B-A7F5-7D9B607C5BEE}</author>
    <author>tc={7ECB7575-C406-450A-9FF8-A6F820547223}</author>
    <author>tc={F6EDB117-9F3B-4BA7-BDC2-FE8CF07ECC3C}</author>
    <author>tc={D7E83DC9-118E-4CD3-B30C-C340473BAC9B}</author>
    <author>tc={7D51D247-9255-4BEC-AE84-059A460B56EC}</author>
    <author>tc={3E27E9CB-BEB8-4FEB-AD48-E2FCC4FF8219}</author>
    <author>tc={73676F8D-B9BB-4AC5-B1D7-FA0CA8EACE92}</author>
    <author>tc={F16D200A-4B89-43F7-AA90-B19FBFEF1433}</author>
    <author>tc={E78EF1D4-B730-467C-95F2-D1DF711977C7}</author>
    <author>tc={57FB079F-4C78-4F0D-AF05-BCF63DFE2DEE}</author>
    <author>tc={86DF73D4-93A3-4D0D-8B79-F49CBBA7F0EB}</author>
    <author>tc={CE08DD0F-27E5-4222-965C-4E788BBBB264}</author>
    <author>tc={EDB1DCF3-B8F8-46B2-B118-73173929B06A}</author>
    <author>tc={620AEE66-10A0-4A9E-8275-9207E53D4437}</author>
    <author>tc={FA5328B9-C25F-445A-9C0F-221D54B0D0C8}</author>
    <author>tc={BE46F86E-5B1E-41B4-8662-B9E12EAAEA32}</author>
    <author>tc={9A23F75D-10B7-4AB2-8822-D1581BF19F20}</author>
    <author>tc={05A2F382-F093-4845-BD0F-6A955D557D95}</author>
    <author>tc={9F819B52-D283-4A85-8CDB-D402A62D6244}</author>
    <author>tc={7342BAB1-3916-4036-B7F6-6C9FC0927334}</author>
    <author>tc={9AFB5506-C234-4F00-93B3-AA38BD514261}</author>
    <author>tc={CAD3FC16-50F4-40B3-AAC6-CD8B00D74F22}</author>
  </authors>
  <commentList>
    <comment ref="A1" authorId="0" shapeId="0" xr:uid="{5C32F757-D946-4640-B8AE-C844FA6A346E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" authorId="1" shapeId="0" xr:uid="{9418E9E5-A8B8-460A-AD8A-9CDE7B76C8AE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" authorId="2" shapeId="0" xr:uid="{BDB609D7-A896-461F-A548-4C0B7177D189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" authorId="3" shapeId="0" xr:uid="{EE48EB49-F169-4522-8B76-E10030225D02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" authorId="4" shapeId="0" xr:uid="{E97D6592-15EE-4C41-A90F-5EFAB64ECF70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" authorId="5" shapeId="0" xr:uid="{CB8A864B-EC4B-413B-A7F5-7D9B607C5BEE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" authorId="6" shapeId="0" xr:uid="{7ECB7575-C406-450A-9FF8-A6F8205472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" authorId="7" shapeId="0" xr:uid="{F6EDB117-9F3B-4BA7-BDC2-FE8CF07ECC3C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" authorId="8" shapeId="0" xr:uid="{D7E83DC9-118E-4CD3-B30C-C340473BAC9B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  <comment ref="A10" authorId="9" shapeId="0" xr:uid="{7D51D247-9255-4BEC-AE84-059A460B56EC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0" authorId="10" shapeId="0" xr:uid="{3E27E9CB-BEB8-4FEB-AD48-E2FCC4FF8219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0" authorId="11" shapeId="0" xr:uid="{73676F8D-B9BB-4AC5-B1D7-FA0CA8EACE92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0" authorId="12" shapeId="0" xr:uid="{F16D200A-4B89-43F7-AA90-B19FBFEF1433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0" authorId="13" shapeId="0" xr:uid="{E78EF1D4-B730-467C-95F2-D1DF711977C7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0" authorId="14" shapeId="0" xr:uid="{57FB079F-4C78-4F0D-AF05-BCF63DFE2DEE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0" authorId="15" shapeId="0" xr:uid="{86DF73D4-93A3-4D0D-8B79-F49CBBA7F0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0" authorId="16" shapeId="0" xr:uid="{CE08DD0F-27E5-4222-965C-4E788BBBB264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0" authorId="17" shapeId="0" xr:uid="{EDB1DCF3-B8F8-46B2-B118-73173929B06A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  <comment ref="A17" authorId="18" shapeId="0" xr:uid="{620AEE66-10A0-4A9E-8275-9207E53D4437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7" authorId="19" shapeId="0" xr:uid="{FA5328B9-C25F-445A-9C0F-221D54B0D0C8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7" authorId="20" shapeId="0" xr:uid="{BE46F86E-5B1E-41B4-8662-B9E12EAAEA32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7" authorId="21" shapeId="0" xr:uid="{9A23F75D-10B7-4AB2-8822-D1581BF19F20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7" authorId="22" shapeId="0" xr:uid="{05A2F382-F093-4845-BD0F-6A955D557D95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7" authorId="23" shapeId="0" xr:uid="{9F819B52-D283-4A85-8CDB-D402A62D6244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7" authorId="24" shapeId="0" xr:uid="{7342BAB1-3916-4036-B7F6-6C9FC09273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7" authorId="25" shapeId="0" xr:uid="{9AFB5506-C234-4F00-93B3-AA38BD514261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7" authorId="26" shapeId="0" xr:uid="{CAD3FC16-50F4-40B3-AAC6-CD8B00D74F22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tc={E0CB130F-A3C9-480C-A328-2DE6BCCE90CA}</author>
    <author>tc={440D1B26-4511-4C12-A801-7F124DA54418}</author>
    <author>tc={92247A58-4CDD-4BD9-8266-74C85813B1B6}</author>
    <author>tc={0A0279C2-26AA-467F-B5A7-AF73FF953AA4}</author>
    <author>tc={FED220D0-7F1C-4601-9137-880004221E0F}</author>
    <author>tc={9081CE76-08EA-44BD-B568-131326EAD189}</author>
    <author>tc={ED9E8458-9A01-48BD-8066-0CB0703A4FBC}</author>
    <author>tc={27B534E6-FC0A-427C-B274-A92931C64730}</author>
    <author>tc={8CEEC002-97CB-45CD-8F38-9B826FF6A123}</author>
    <author>tc={B50C4D6C-C8D9-4EC3-A92E-9F065629D59B}</author>
    <author>tc={F908BE95-3A4E-4C19-9304-02C94396C60E}</author>
    <author>tc={44220720-A9E6-4FC4-A8FD-644E74A208A9}</author>
    <author>tc={65CE43DF-7412-4E18-8B39-816FC2B5F69B}</author>
    <author>tc={67BA0DBE-D7C8-4EE3-8596-4C472D25A287}</author>
    <author>tc={AB9286E6-538E-428F-B426-8A1537F93972}</author>
    <author>tc={06E087B8-AB64-46F3-98C4-E95B767B7B8D}</author>
    <author>tc={1F943A91-33D0-4A54-93DE-193AF4C91285}</author>
    <author>tc={E03290EB-A66C-48FF-A2F7-1F602CDEC21B}</author>
    <author>tc={F9063172-5D85-45F5-BFC5-782F9CEC19D9}</author>
    <author>tc={2F690D94-1406-4A9C-8DFC-5C569548AEF0}</author>
    <author>tc={5F203F10-0DBA-40E6-A4DF-2002E7EA6BE0}</author>
    <author>tc={EC132468-B30B-44F8-92AF-98184ED77334}</author>
    <author>tc={EADF2AA7-2B16-4C5D-A100-48BAF137392F}</author>
    <author>tc={961D5273-2726-495A-84B7-1C7CA22A4045}</author>
    <author>tc={9BC4A20A-7BC9-490F-B148-41C504F89AAA}</author>
    <author>tc={86F52A50-6EDE-469F-91A4-CCF2547E68A6}</author>
    <author>tc={FDB30918-CE3D-47ED-890B-940B3CE31E56}</author>
  </authors>
  <commentList>
    <comment ref="A1" authorId="0" shapeId="0" xr:uid="{E0CB130F-A3C9-480C-A328-2DE6BCCE90CA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" authorId="1" shapeId="0" xr:uid="{440D1B26-4511-4C12-A801-7F124DA54418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" authorId="2" shapeId="0" xr:uid="{92247A58-4CDD-4BD9-8266-74C85813B1B6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" authorId="3" shapeId="0" xr:uid="{0A0279C2-26AA-467F-B5A7-AF73FF953AA4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" authorId="4" shapeId="0" xr:uid="{FED220D0-7F1C-4601-9137-880004221E0F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" authorId="5" shapeId="0" xr:uid="{9081CE76-08EA-44BD-B568-131326EAD189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" authorId="6" shapeId="0" xr:uid="{ED9E8458-9A01-48BD-8066-0CB0703A4F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" authorId="7" shapeId="0" xr:uid="{27B534E6-FC0A-427C-B274-A92931C64730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" authorId="8" shapeId="0" xr:uid="{8CEEC002-97CB-45CD-8F38-9B826FF6A123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  <comment ref="A10" authorId="9" shapeId="0" xr:uid="{B50C4D6C-C8D9-4EC3-A92E-9F065629D59B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0" authorId="10" shapeId="0" xr:uid="{F908BE95-3A4E-4C19-9304-02C94396C60E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0" authorId="11" shapeId="0" xr:uid="{44220720-A9E6-4FC4-A8FD-644E74A208A9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0" authorId="12" shapeId="0" xr:uid="{65CE43DF-7412-4E18-8B39-816FC2B5F69B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0" authorId="13" shapeId="0" xr:uid="{67BA0DBE-D7C8-4EE3-8596-4C472D25A287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0" authorId="14" shapeId="0" xr:uid="{AB9286E6-538E-428F-B426-8A1537F93972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0" authorId="15" shapeId="0" xr:uid="{06E087B8-AB64-46F3-98C4-E95B767B7B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0" authorId="16" shapeId="0" xr:uid="{1F943A91-33D0-4A54-93DE-193AF4C91285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0" authorId="17" shapeId="0" xr:uid="{E03290EB-A66C-48FF-A2F7-1F602CDEC21B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  <comment ref="A18" authorId="18" shapeId="0" xr:uid="{F9063172-5D85-45F5-BFC5-782F9CEC19D9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8" authorId="19" shapeId="0" xr:uid="{2F690D94-1406-4A9C-8DFC-5C569548AEF0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8" authorId="20" shapeId="0" xr:uid="{5F203F10-0DBA-40E6-A4DF-2002E7EA6BE0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8" authorId="21" shapeId="0" xr:uid="{EC132468-B30B-44F8-92AF-98184ED77334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8" authorId="22" shapeId="0" xr:uid="{EADF2AA7-2B16-4C5D-A100-48BAF137392F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8" authorId="23" shapeId="0" xr:uid="{961D5273-2726-495A-84B7-1C7CA22A4045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8" authorId="24" shapeId="0" xr:uid="{9BC4A20A-7BC9-490F-B148-41C504F89A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8" authorId="25" shapeId="0" xr:uid="{86F52A50-6EDE-469F-91A4-CCF2547E68A6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8" authorId="26" shapeId="0" xr:uid="{FDB30918-CE3D-47ED-890B-940B3CE31E56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tc={5C1BBE8F-D143-4DA3-A000-58432B23D8DC}</author>
    <author>tc={90600513-3E22-44AB-A5CB-ECE1E0E70BF8}</author>
    <author>tc={7E7C1C8A-7453-4B57-BB3C-B854A5A56A06}</author>
    <author>tc={9A693695-4F0F-43A0-A3BC-1BB20B96FF4D}</author>
    <author>tc={6B4AED53-1CFC-4C36-96AD-F8CA04DD5646}</author>
    <author>tc={607A0759-83AD-4D46-9669-4A89739C88BC}</author>
    <author>tc={B8A15F58-4F29-466C-9FC2-250C6BE7D211}</author>
    <author>tc={D85C8CDC-96DB-467B-81BD-1123058E1821}</author>
    <author>tc={C5D8918C-AA6D-4C78-B35D-02046A293480}</author>
    <author>tc={944F98AA-0716-449A-8519-B8C58E598C65}</author>
    <author>tc={F9823D49-562F-4389-9791-F56FC47484AF}</author>
    <author>tc={35EFC347-003B-4300-8F72-2DDBD98E52CC}</author>
    <author>tc={D94DB32D-81FB-4422-8102-85ACCDA69CB9}</author>
    <author>tc={B396874E-F817-427D-987E-000C756A2478}</author>
    <author>tc={3BD6C6C9-F93A-4C24-AB6C-2FF84693C3C5}</author>
    <author>tc={AFE6BCDA-F6D9-4C6F-A0D0-8818AA43205B}</author>
    <author>tc={735177BE-ED82-4BD4-A4D8-A463633B3677}</author>
    <author>tc={462DF705-70F6-4957-971F-71C9E82773BD}</author>
    <author>tc={A1F5345D-97A8-4E74-9FD2-B54E8ED9569D}</author>
    <author>tc={0F626F7C-ABE0-4FFF-94D2-4411B01B5100}</author>
    <author>tc={51A723F7-2F7D-48D3-A7FC-495A3051E03A}</author>
    <author>tc={A1BD8C83-2A7A-4068-867C-7EEB69B9D15A}</author>
    <author>tc={1EA241E1-1C40-47D8-8959-37930E892F9C}</author>
    <author>tc={79D888BE-94DE-4B39-B684-C5B974601ADD}</author>
    <author>tc={54122747-5F16-4C77-8AD7-490F039F330C}</author>
    <author>tc={F5A81332-A58D-4C57-9A1C-5B84B7DE6F0D}</author>
    <author>tc={40B96E0D-C75B-470F-A51B-B72878818CE4}</author>
  </authors>
  <commentList>
    <comment ref="A1" authorId="0" shapeId="0" xr:uid="{5C1BBE8F-D143-4DA3-A000-58432B23D8DC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" authorId="1" shapeId="0" xr:uid="{90600513-3E22-44AB-A5CB-ECE1E0E70BF8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" authorId="2" shapeId="0" xr:uid="{7E7C1C8A-7453-4B57-BB3C-B854A5A56A06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" authorId="3" shapeId="0" xr:uid="{9A693695-4F0F-43A0-A3BC-1BB20B96FF4D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" authorId="4" shapeId="0" xr:uid="{6B4AED53-1CFC-4C36-96AD-F8CA04DD5646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" authorId="5" shapeId="0" xr:uid="{607A0759-83AD-4D46-9669-4A89739C88BC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" authorId="6" shapeId="0" xr:uid="{B8A15F58-4F29-466C-9FC2-250C6BE7D2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" authorId="7" shapeId="0" xr:uid="{D85C8CDC-96DB-467B-81BD-1123058E1821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" authorId="8" shapeId="0" xr:uid="{C5D8918C-AA6D-4C78-B35D-02046A293480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  <comment ref="A12" authorId="9" shapeId="0" xr:uid="{944F98AA-0716-449A-8519-B8C58E598C65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2" authorId="10" shapeId="0" xr:uid="{F9823D49-562F-4389-9791-F56FC47484AF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2" authorId="11" shapeId="0" xr:uid="{35EFC347-003B-4300-8F72-2DDBD98E52CC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2" authorId="12" shapeId="0" xr:uid="{D94DB32D-81FB-4422-8102-85ACCDA69CB9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2" authorId="13" shapeId="0" xr:uid="{B396874E-F817-427D-987E-000C756A2478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2" authorId="14" shapeId="0" xr:uid="{3BD6C6C9-F93A-4C24-AB6C-2FF84693C3C5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2" authorId="15" shapeId="0" xr:uid="{AFE6BCDA-F6D9-4C6F-A0D0-8818AA4320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2" authorId="16" shapeId="0" xr:uid="{735177BE-ED82-4BD4-A4D8-A463633B3677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2" authorId="17" shapeId="0" xr:uid="{462DF705-70F6-4957-971F-71C9E82773BD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  <comment ref="A19" authorId="18" shapeId="0" xr:uid="{A1F5345D-97A8-4E74-9FD2-B54E8ED9569D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9" authorId="19" shapeId="0" xr:uid="{0F626F7C-ABE0-4FFF-94D2-4411B01B5100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9" authorId="20" shapeId="0" xr:uid="{51A723F7-2F7D-48D3-A7FC-495A3051E03A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9" authorId="21" shapeId="0" xr:uid="{A1BD8C83-2A7A-4068-867C-7EEB69B9D15A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9" authorId="22" shapeId="0" xr:uid="{1EA241E1-1C40-47D8-8959-37930E892F9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9" authorId="23" shapeId="0" xr:uid="{79D888BE-94DE-4B39-B684-C5B974601ADD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9" authorId="24" shapeId="0" xr:uid="{54122747-5F16-4C77-8AD7-490F039F33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9" authorId="25" shapeId="0" xr:uid="{F5A81332-A58D-4C57-9A1C-5B84B7DE6F0D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9" authorId="26" shapeId="0" xr:uid="{40B96E0D-C75B-470F-A51B-B72878818CE4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tc={2DA35890-DF67-4A82-B539-95B620150FA0}</author>
    <author>tc={574AD347-6ED2-45C7-ABE1-09C6C8A64A1F}</author>
    <author>tc={9286385D-A47F-473A-A063-6B7DA2A68E40}</author>
    <author>tc={0C86D6B9-E946-4108-9CAE-2CADF3560B39}</author>
    <author>tc={C5A8FC57-DAF2-47A8-9426-41E168086269}</author>
    <author>tc={2691F66F-750C-4C66-959F-D2E5A40A6D5D}</author>
    <author>tc={4B846BF8-C649-494A-901F-EA0AF9137D08}</author>
    <author>tc={83FDB513-9F38-494D-A0A8-83C25CD93ECA}</author>
    <author>tc={E1A57CB9-CE62-483F-B651-4D965AAAE05A}</author>
    <author>tc={EA725329-B14C-454A-9530-BE6365804C42}</author>
    <author>tc={3D82C537-E564-40AB-ABFF-538D9FFDB1A3}</author>
    <author>tc={2369787A-B940-446E-9889-CD60D840AB43}</author>
    <author>tc={5176DF3F-241C-4C91-969A-761798608280}</author>
    <author>tc={64F0797A-866E-4557-A738-35DC165BFF96}</author>
    <author>tc={F239729D-1F92-48A5-AC1B-2ABE84F25D65}</author>
    <author>tc={9A0395B5-8933-4C9D-8CEE-8351CB03A50A}</author>
    <author>tc={72DEA2BF-DD5A-4692-8E72-A69175D6187E}</author>
    <author>tc={F88B48E7-5795-4004-ABB7-13C648BF3FFB}</author>
  </authors>
  <commentList>
    <comment ref="A1" authorId="0" shapeId="0" xr:uid="{2DA35890-DF67-4A82-B539-95B620150FA0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" authorId="1" shapeId="0" xr:uid="{574AD347-6ED2-45C7-ABE1-09C6C8A64A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" authorId="2" shapeId="0" xr:uid="{9286385D-A47F-473A-A063-6B7DA2A68E40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" authorId="3" shapeId="0" xr:uid="{0C86D6B9-E946-4108-9CAE-2CADF3560B39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" authorId="4" shapeId="0" xr:uid="{C5A8FC57-DAF2-47A8-9426-41E168086269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" authorId="5" shapeId="0" xr:uid="{2691F66F-750C-4C66-959F-D2E5A40A6D5D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" authorId="6" shapeId="0" xr:uid="{4B846BF8-C649-494A-901F-EA0AF9137D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" authorId="7" shapeId="0" xr:uid="{83FDB513-9F38-494D-A0A8-83C25CD93ECA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" authorId="8" shapeId="0" xr:uid="{E1A57CB9-CE62-483F-B651-4D965AAAE05A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  <comment ref="A8" authorId="9" shapeId="0" xr:uid="{EA725329-B14C-454A-9530-BE6365804C42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8" authorId="10" shapeId="0" xr:uid="{3D82C537-E564-40AB-ABFF-538D9FFDB1A3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8" authorId="11" shapeId="0" xr:uid="{2369787A-B940-446E-9889-CD60D840AB43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8" authorId="12" shapeId="0" xr:uid="{5176DF3F-241C-4C91-969A-761798608280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8" authorId="13" shapeId="0" xr:uid="{64F0797A-866E-4557-A738-35DC165BFF96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8" authorId="14" shapeId="0" xr:uid="{F239729D-1F92-48A5-AC1B-2ABE84F25D65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8" authorId="15" shapeId="0" xr:uid="{9A0395B5-8933-4C9D-8CEE-8351CB03A5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8" authorId="16" shapeId="0" xr:uid="{72DEA2BF-DD5A-4692-8E72-A69175D6187E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8" authorId="17" shapeId="0" xr:uid="{F88B48E7-5795-4004-ABB7-13C648BF3FFB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tc={660392F1-1063-4D43-93E3-C8AFFD92A142}</author>
    <author>tc={C5EBE9F3-F969-4346-8412-1CE4D6BDF52D}</author>
    <author>tc={72F945A4-B703-4711-8BE5-A5FD2D4877C7}</author>
    <author>tc={9885A83B-19A7-40DE-ADC1-DF92F59BE59E}</author>
    <author>tc={222A0627-9866-4F83-9467-D20B23EB5527}</author>
    <author>tc={806875C6-722D-4A3E-A588-11296D543981}</author>
    <author>tc={305B8978-E31E-4BDF-A0B4-92A064211B2B}</author>
    <author>tc={5C6499F5-6BFB-4282-B3A9-86EE8339E165}</author>
    <author>tc={33205771-CA5A-4E4C-8D01-D3BB2325237A}</author>
    <author>tc={009EC594-9AED-45EB-BBCB-64A3B77C367A}</author>
    <author>tc={012B0132-5044-4617-B2B3-1609188B1F49}</author>
    <author>tc={530D149A-EF28-4B85-BA6B-72B6ECDCB038}</author>
    <author>tc={CDC28EB1-DE4F-4DA2-9248-605E87F51E8D}</author>
    <author>tc={3A4DAE43-7827-4C50-AD02-26E67C7980EA}</author>
    <author>tc={E40C87EC-21CA-463A-850B-66C79AD08CBF}</author>
    <author>tc={84E6307B-BDEF-4A1C-A976-21AB42D69438}</author>
    <author>tc={0D5B3E2B-8396-4CFF-8A52-667D3555B7BE}</author>
    <author>tc={71DBD9A6-97AC-4825-86D3-E14C665B60F2}</author>
  </authors>
  <commentList>
    <comment ref="A1" authorId="0" shapeId="0" xr:uid="{660392F1-1063-4D43-93E3-C8AFFD92A142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1" authorId="1" shapeId="0" xr:uid="{C5EBE9F3-F969-4346-8412-1CE4D6BDF52D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1" authorId="2" shapeId="0" xr:uid="{72F945A4-B703-4711-8BE5-A5FD2D4877C7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1" authorId="3" shapeId="0" xr:uid="{9885A83B-19A7-40DE-ADC1-DF92F59BE59E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1" authorId="4" shapeId="0" xr:uid="{222A0627-9866-4F83-9467-D20B23EB5527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1" authorId="5" shapeId="0" xr:uid="{806875C6-722D-4A3E-A588-11296D543981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1" authorId="6" shapeId="0" xr:uid="{305B8978-E31E-4BDF-A0B4-92A064211B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1" authorId="7" shapeId="0" xr:uid="{5C6499F5-6BFB-4282-B3A9-86EE8339E165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1" authorId="8" shapeId="0" xr:uid="{33205771-CA5A-4E4C-8D01-D3BB2325237A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  <comment ref="A6" authorId="9" shapeId="0" xr:uid="{009EC594-9AED-45EB-BBCB-64A3B77C367A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al nombre del modelo al cual pertenece el mensaje. Selecciónelo desde la lista desplegable. En caso de que el modelo no exista o desee corregir el nombre, alimenta la hoja "Valores" con el nuevo modelo o con la información deseada.</t>
      </text>
    </comment>
    <comment ref="B6" authorId="10" shapeId="0" xr:uid="{012B0132-5044-4617-B2B3-1609188B1F49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 el número del mensaje. Generalmente, es un número consecutivo.</t>
      </text>
    </comment>
    <comment ref="C6" authorId="11" shapeId="0" xr:uid="{530D149A-EF28-4B85-BA6B-72B6ECDCB038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cálculo.</t>
      </text>
    </comment>
    <comment ref="D6" authorId="12" shapeId="0" xr:uid="{CDC28EB1-DE4F-4DA2-9248-605E87F51E8D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se calcula automáticamente. Recomendamos no modificar la fórmula de cálculo, dado que permite hallar el código del mensaje de forma estandarizada y única.</t>
      </text>
    </comment>
    <comment ref="E6" authorId="13" shapeId="0" xr:uid="{3A4DAE43-7827-4C50-AD02-26E67C7980EA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Seleccione el tipo de mensaje, si es de usuario final o técnico.</t>
      </text>
    </comment>
    <comment ref="F6" authorId="14" shapeId="0" xr:uid="{E40C87EC-21CA-463A-850B-66C79AD08CBF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>
      </text>
    </comment>
    <comment ref="G6" authorId="15" shapeId="0" xr:uid="{84E6307B-BDEF-4A1C-A976-21AB42D694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Corresponde al título del mensaje que se quiere aparezca en un título. Puede contener parámetros, los cuales se recomienda colocar como consecutivos con la notación "${0}", "${1}", "${2}", "${N}" o la notación que se defina claramente.
</t>
      </text>
    </comment>
    <comment ref="H6" authorId="16" shapeId="0" xr:uid="{0D5B3E2B-8396-4CFF-8A52-667D3555B7BE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la descripción o contenido del mensaje. Puede contener parámetros, los cuales se recomienda colocar como consecutivos con la notación "${0}", "${1}", "${2}", "${N}" o la notación que se defina claramente.</t>
      </text>
    </comment>
    <comment ref="I6" authorId="17" shapeId="0" xr:uid="{71DBD9A6-97AC-4825-86D3-E14C665B60F2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los parámetros que pueden ser colocados dentro del mensaje, sea en el título o en el contenido.</t>
      </text>
    </comment>
  </commentList>
</comments>
</file>

<file path=xl/sharedStrings.xml><?xml version="1.0" encoding="utf-8"?>
<sst xmlns="http://schemas.openxmlformats.org/spreadsheetml/2006/main" count="1203" uniqueCount="430">
  <si>
    <t>Categoría Mensaje</t>
  </si>
  <si>
    <t>Tipo de Mensaje</t>
  </si>
  <si>
    <t>Modelo</t>
  </si>
  <si>
    <t>Categoría</t>
  </si>
  <si>
    <t>Código</t>
  </si>
  <si>
    <t>Nombre Modelo</t>
  </si>
  <si>
    <t>Información</t>
  </si>
  <si>
    <t>INF</t>
  </si>
  <si>
    <t>Usuario final</t>
  </si>
  <si>
    <t>USU</t>
  </si>
  <si>
    <t>General</t>
  </si>
  <si>
    <t>GEN</t>
  </si>
  <si>
    <t>Éxito</t>
  </si>
  <si>
    <t>EXI</t>
  </si>
  <si>
    <t>Técnico</t>
  </si>
  <si>
    <t>TEC</t>
  </si>
  <si>
    <t>Usuario</t>
  </si>
  <si>
    <t>MOD_1</t>
  </si>
  <si>
    <t>Advertencia</t>
  </si>
  <si>
    <t>ADV</t>
  </si>
  <si>
    <t>Login</t>
  </si>
  <si>
    <t>MOD_2</t>
  </si>
  <si>
    <t>Confirmación</t>
  </si>
  <si>
    <t>CON</t>
  </si>
  <si>
    <t>Pago</t>
  </si>
  <si>
    <t>MOD_3</t>
  </si>
  <si>
    <t>Error</t>
  </si>
  <si>
    <t>ERR</t>
  </si>
  <si>
    <t>Abastecimiento</t>
  </si>
  <si>
    <t>MOD_4</t>
  </si>
  <si>
    <t>Fatal</t>
  </si>
  <si>
    <t>FAT</t>
  </si>
  <si>
    <t>Insumo</t>
  </si>
  <si>
    <t>MOD_5</t>
  </si>
  <si>
    <t>Cliente</t>
  </si>
  <si>
    <t>MOD_6</t>
  </si>
  <si>
    <t>Sede</t>
  </si>
  <si>
    <t>MOD_7</t>
  </si>
  <si>
    <t>Devolución</t>
  </si>
  <si>
    <t>MOD_8</t>
  </si>
  <si>
    <t>Venta</t>
  </si>
  <si>
    <t>MOD_9</t>
  </si>
  <si>
    <t>Envio</t>
  </si>
  <si>
    <t>MOD_10</t>
  </si>
  <si>
    <t>Producto</t>
  </si>
  <si>
    <t>MOD_11</t>
  </si>
  <si>
    <t>Produccion</t>
  </si>
  <si>
    <t>MOD_12</t>
  </si>
  <si>
    <t>Proveedor</t>
  </si>
  <si>
    <t>MOD_13</t>
  </si>
  <si>
    <t>Categoria</t>
  </si>
  <si>
    <t>MOD_14</t>
  </si>
  <si>
    <t>Persona</t>
  </si>
  <si>
    <t>MOD_15</t>
  </si>
  <si>
    <t>Número Mensaje</t>
  </si>
  <si>
    <t>Código mensaje</t>
  </si>
  <si>
    <t>Tipo</t>
  </si>
  <si>
    <t>Título Mensaje</t>
  </si>
  <si>
    <t>Contenido Mensaje</t>
  </si>
  <si>
    <t>Parámetros</t>
  </si>
  <si>
    <t>1</t>
  </si>
  <si>
    <t>¡Usuario registrado de forma exitosa!</t>
  </si>
  <si>
    <t>¡El usuario “${0}” ha sido registrado de forma exitosa!</t>
  </si>
  <si>
    <t>${0}: Usuario (login) registrado</t>
  </si>
  <si>
    <t>2</t>
  </si>
  <si>
    <t>¡Usuario ya registrado!</t>
  </si>
  <si>
    <t>¡El usuario con identificación “${0}” ya ha sido registrado!</t>
  </si>
  <si>
    <t>${0}: Número de identificación</t>
  </si>
  <si>
    <t>3</t>
  </si>
  <si>
    <t>¡El usuario con correo electrónico “${0}” ya ha sido registrado!</t>
  </si>
  <si>
    <t>${0}: Correo electrónico</t>
  </si>
  <si>
    <t>4</t>
  </si>
  <si>
    <t>¡El usuario con nombre de inicio de sesión “${0}” ya existe. Elige otro!</t>
  </si>
  <si>
    <t>${0}: Usuario (login)</t>
  </si>
  <si>
    <t>5</t>
  </si>
  <si>
    <t>Conflicto de unicidad</t>
  </si>
  <si>
    <t>No fue posible registrar: los siguientes campos deben ser únicos y ya existen: ${0}.</t>
  </si>
  <si>
    <t>${0}: Lista de campos en conflicto (p. ej., “Numero_Identificacion, Correo”)</t>
  </si>
  <si>
    <t>6</t>
  </si>
  <si>
    <t>Dato requerido no diligenciado</t>
  </si>
  <si>
    <t>Debes registrar un valor para “${0}”, el cual es obligatorio.</t>
  </si>
  <si>
    <t>${0}: Nombre del campo obligatorio</t>
  </si>
  <si>
    <t>7</t>
  </si>
  <si>
    <t>Longitud máxima excedida</t>
  </si>
  <si>
    <t>El campo “${0}” supera la longitud máxima permitida (${1} caracteres).</t>
  </si>
  <si>
    <t>${0}: Campo; ${1}: Longitud máxima</t>
  </si>
  <si>
    <t>8</t>
  </si>
  <si>
    <t>Longitud mínima no cumplida</t>
  </si>
  <si>
    <t>El campo “${0}” no cumple la longitud mínima requerida (${1} caracteres).</t>
  </si>
  <si>
    <t>${0}: Campo; ${1}: Longitud mínima</t>
  </si>
  <si>
    <t>9</t>
  </si>
  <si>
    <t>Formato inválido</t>
  </si>
  <si>
    <t>El campo “${0}” solo permite letras y espacios.</t>
  </si>
  <si>
    <t>${0}: Campo (Primer_Nombre, Segundo_Nombre, Primer_Apellido, Segundo_Apellido, Tipo_Identificacion)</t>
  </si>
  <si>
    <t>10</t>
  </si>
  <si>
    <t>El campo “${0}” debe contener únicamente números enteros.</t>
  </si>
  <si>
    <t>${0}: Campo (Código, Numero_Identificacion, Celular)</t>
  </si>
  <si>
    <t>11</t>
  </si>
  <si>
    <t>Formato de correo inválido</t>
  </si>
  <si>
    <t>El correo “${0}” no cumple el formato de correo electrónico válido.</t>
  </si>
  <si>
    <t>${0}: Correo ingresado</t>
  </si>
  <si>
    <t>12</t>
  </si>
  <si>
    <t>Usuario inválido</t>
  </si>
  <si>
    <t>El “Usuario” solo puede contener caracteres alfanuméricos y .-_ sin espacios. Valor recibido: “${0}”.</t>
  </si>
  <si>
    <t>${0}: Usuario ingresado</t>
  </si>
  <si>
    <t>13</t>
  </si>
  <si>
    <t>Usuario demasiado largo</t>
  </si>
  <si>
    <t>El “Usuario” no puede superar ${0} caracteres.</t>
  </si>
  <si>
    <t>${0}: Longitud máxima (20)</t>
  </si>
  <si>
    <t>14</t>
  </si>
  <si>
    <t>Contraseña demasiado larga</t>
  </si>
  <si>
    <t>La “Contraseña” no puede superar ${0} caracteres.</t>
  </si>
  <si>
    <t>${0}: Longitud máxima (15)</t>
  </si>
  <si>
    <t>15</t>
  </si>
  <si>
    <t>Contraseña con caracteres no permitidos</t>
  </si>
  <si>
    <t>La “Contraseña” solo puede contener caracteres alfanuméricos y símbolos básicos sin espacios.</t>
  </si>
  <si>
    <t>(sin parámetros)</t>
  </si>
  <si>
    <t>16</t>
  </si>
  <si>
    <t>Contraseña débil</t>
  </si>
  <si>
    <t>La contraseña podría ser débil. Te sugerimos combinar mayúsculas, minúsculas y números.</t>
  </si>
  <si>
    <t>(opcional, sin parámetros)</t>
  </si>
  <si>
    <t>17</t>
  </si>
  <si>
    <t>Número de identificación inválido</t>
  </si>
  <si>
    <t>El “Número de identificación” debe tener solo dígitos y no superar ${0} caracteres.</t>
  </si>
  <si>
    <t>18</t>
  </si>
  <si>
    <t>Celular inválido</t>
  </si>
  <si>
    <t>El “Celular” debe contener solo dígitos y tener máximo ${0} caracteres.</t>
  </si>
  <si>
    <t>${0}: Longitud máxima (10)</t>
  </si>
  <si>
    <t>19</t>
  </si>
  <si>
    <t>Error de sistema</t>
  </si>
  <si>
    <t>Se presentó un error inesperado al guardar la información. Si persiste, contacta al administrador.</t>
  </si>
  <si>
    <t>20</t>
  </si>
  <si>
    <t>¡Usuario actualizado exitosamente!</t>
  </si>
  <si>
    <t>¡El usuario “${0}” ha sido actualizado exitosamente!</t>
  </si>
  <si>
    <t>21</t>
  </si>
  <si>
    <t>¡Rol actualizado exitosamente!</t>
  </si>
  <si>
    <t>El rol del usuario “${0}” ha sido cambiado a “${1}” exitosamente.</t>
  </si>
  <si>
    <t>${0}: Usuario (login), ${1}: Nuevo rol</t>
  </si>
  <si>
    <t>22</t>
  </si>
  <si>
    <t>¡Estado de usuario actualizado!</t>
  </si>
  <si>
    <t>El estado del usuario “${0}” ha sido actualizado a “${1}”.</t>
  </si>
  <si>
    <t>${0}: Usuario (login), ${1}: Estado (Activo/Inactivo)</t>
  </si>
  <si>
    <t>23</t>
  </si>
  <si>
    <t>El ${0} “${1}” ya está registrado para otro usuario. Por favor use uno diferente.</t>
  </si>
  <si>
    <t>${0}: Tipo de dato (correo, identificación), ${1}: Valor ingresado</t>
  </si>
  <si>
    <t>24</t>
  </si>
  <si>
    <t>¡Acceso exitoso!</t>
  </si>
  <si>
    <t>Bienvenido, “${0}”. El sistema ha validado sus credenciales correctamente.</t>
  </si>
  <si>
    <t>25</t>
  </si>
  <si>
    <t>Cuenta inactiva</t>
  </si>
  <si>
    <t>La cuenta del usuario “${0}” se encuentra inactiva. Contacte al administrador.</t>
  </si>
  <si>
    <t>26</t>
  </si>
  <si>
    <t>Credenciales incorrectas</t>
  </si>
  <si>
    <t>Credenciales Inválidas</t>
  </si>
  <si>
    <t>–</t>
  </si>
  <si>
    <t>27</t>
  </si>
  <si>
    <t>Contraseña expirada</t>
  </si>
  <si>
    <t>Su contraseña ha expirado. Debe actualizarla para poder ingresar al sistema.</t>
  </si>
  <si>
    <t>28</t>
  </si>
  <si>
    <t>Sesión cerrada por inactividad</t>
  </si>
  <si>
    <r>
      <t xml:space="preserve">Por seguridad, tu sesión se cerró tras </t>
    </r>
    <r>
      <rPr>
        <b/>
        <sz val="11"/>
        <color theme="1"/>
        <rFont val="Calibri"/>
        <family val="2"/>
        <scheme val="minor"/>
      </rPr>
      <t>${0}</t>
    </r>
    <r>
      <rPr>
        <sz val="11"/>
        <color theme="1"/>
        <rFont val="Calibri"/>
        <family val="2"/>
        <scheme val="minor"/>
      </rPr>
      <t xml:space="preserve"> minuto(s) de inactividad. Serás redirigido a la pantalla de login.</t>
    </r>
  </si>
  <si>
    <t>${0}: Minutos de inactividad configurados</t>
  </si>
  <si>
    <t>Pagos registrados</t>
  </si>
  <si>
    <t>Se ha registrado ${0}  pago exitosamente por un total de ${1}.</t>
  </si>
  <si>
    <t>${0}: Cantidad de pagos registrados, ${1}: Monto</t>
  </si>
  <si>
    <t>Pago parcial registrado</t>
  </si>
  <si>
    <t>Se registró un abono de ${0}. Saldo pendiente: ${1}. Estado de la venta: Pendiente de pago.</t>
  </si>
  <si>
    <t>${0}: Monto, ${1}: Saldo restante</t>
  </si>
  <si>
    <t>Pago completado</t>
  </si>
  <si>
    <t>Se registró el pago total de la venta “${0}”. Estado actualizado a: Pagada.</t>
  </si>
  <si>
    <t>${0}: Id de la venta</t>
  </si>
  <si>
    <t>Error de validación</t>
  </si>
  <si>
    <t>El campo “${0}” es inválido. Detalle: ${1}.</t>
  </si>
  <si>
    <t>${0}: Nombre del campo, ${1}: Descripción error</t>
  </si>
  <si>
    <t>Registro cancelado</t>
  </si>
  <si>
    <t>El registro de pago fue cancelado. No se guardaron cambios.</t>
  </si>
  <si>
    <t>Monto excede saldo pendiente</t>
  </si>
  <si>
    <t>El monto ingresado (${0}) supera el saldo pendiente de la venta (${1}). Ajuste el valor e intente nuevamente.</t>
  </si>
  <si>
    <t>${0}: Monto ingresado, ${1}: Saldo pendiente</t>
  </si>
  <si>
    <t>CATALOGO MENSAJES ACTUALIZAR PAGO (HU09)</t>
  </si>
  <si>
    <t>¡Pago actualizado exitosamente!</t>
  </si>
  <si>
    <t>El pago “${0}” ha sido actualizado correctamente.</t>
  </si>
  <si>
    <t>${0}: Id del pago</t>
  </si>
  <si>
    <t>Fecha inválida</t>
  </si>
  <si>
    <t>La fecha ingresada (${0}) no es válida. Debe ser igual o posterior a la fecha de la venta y no mayor a la fecha actual.</t>
  </si>
  <si>
    <t>${0}: Fecha ingresada</t>
  </si>
  <si>
    <t>Pago no modificable</t>
  </si>
  <si>
    <t>No se puede modificar un pago asociado a una venta en estado “${0}”.</t>
  </si>
  <si>
    <t>${0}: Estado de la venta (Pagada/Anulada)</t>
  </si>
  <si>
    <t>Actualización reflejada</t>
  </si>
  <si>
    <t>Los cambios del pago “${0}” han sido guardados, estado de la venta, “${1}”</t>
  </si>
  <si>
    <t>${0}: Id del pago, “${1}”: Estado de la venta</t>
  </si>
  <si>
    <t>¡Insumo registrado exitosamente!</t>
  </si>
  <si>
    <t>El insumo “${0}” fue registrado correctamente y descontado del inventario.</t>
  </si>
  <si>
    <t>${0}: Id o nombre del insumo</t>
  </si>
  <si>
    <t>Cantidad supera inventario</t>
  </si>
  <si>
    <t>La cantidad solicitada (${0}) supera el stock disponible (${1}).</t>
  </si>
  <si>
    <t>${0}: Cantidad solicitada, ${1}: Cantidad disponible</t>
  </si>
  <si>
    <t>Cantidad inválida</t>
  </si>
  <si>
    <t>El valor ingresado (${0}) no es válido. Debe ser numérico, mayor que cero.</t>
  </si>
  <si>
    <t>${0}: Valor ingresado</t>
  </si>
  <si>
    <t>Error de validación de campo</t>
  </si>
  <si>
    <t>Cambios reflejados</t>
  </si>
  <si>
    <t>El registro del insumo “${0}” se guardó exitosamente y se reflejó en inventario e historial.</t>
  </si>
  <si>
    <t>CATALOGO MENSAJES ACTUALIZAR Insumo(HU14)</t>
  </si>
  <si>
    <t>Stock insuficiente</t>
  </si>
  <si>
    <t>La cantidad adicional solicitada (${0}) supera el stock disponible (${1}).</t>
  </si>
  <si>
    <t>${0}: Cantidad solicitada, ${1}: Stock disponible</t>
  </si>
  <si>
    <t>Stock actualizado</t>
  </si>
  <si>
    <t>Se redujo la cantidad consumida. Se devolvieron ${0} unidades al inventario del producto “${1}”.</t>
  </si>
  <si>
    <t>${0}: Cantidad devuelta, ${1}: Nombre producto</t>
  </si>
  <si>
    <t>¡Insumo actualizado exitosamente!</t>
  </si>
  <si>
    <t>El insumo “${0}” fue actualizado correctamente y los cambios quedaron registrados.</t>
  </si>
  <si>
    <t>¡Abastecimiento registrado!</t>
  </si>
  <si>
    <t>El abastecimiento “${0}” fue registrado correctamente. Stock incrementado para los productos asociados.</t>
  </si>
  <si>
    <t>${0}: Código abastecimiento o número de factura</t>
  </si>
  <si>
    <t>Factura ya registrada</t>
  </si>
  <si>
    <t>El número de factura “${0}” ya fue registrado para el proveedor “${1}”. No se permiten duplicados.</t>
  </si>
  <si>
    <t>${0}: NroFactura, ${1}: Proveedor</t>
  </si>
  <si>
    <t>La cantidad ingresada (${0}) no es válida. Debe ser mayor que 0.</t>
  </si>
  <si>
    <t>${0}: Cantidad ingresada</t>
  </si>
  <si>
    <t>CATALOGO MENSAJES ACTUALIZAR Abastecimiento(HU19)</t>
  </si>
  <si>
    <t>¡Abastecimiento actualizado!</t>
  </si>
  <si>
    <t>El abastecimiento “${0}” fue actualizado correctamente.</t>
  </si>
  <si>
    <t>${0}: Código de abastecimiento</t>
  </si>
  <si>
    <t>No se puede actualizar debido que las ${0} unidades registradas, no estan disponibles en el stock ${1}.</t>
  </si>
  <si>
    <t>Factura duplicada</t>
  </si>
  <si>
    <t>El número de factura “${0}” ya existe para el proveedor “${1}”. No se permiten duplicados.</t>
  </si>
  <si>
    <t>CATALOGO MENSAJES Consultar Abastecimiento(HU20)</t>
  </si>
  <si>
    <t>Abastecimiento no encontrado</t>
  </si>
  <si>
    <t>El abastecimiento con código “${0}” no existe o el identificador es incorrecto.</t>
  </si>
  <si>
    <t>${0}: Código abastecimiento</t>
  </si>
  <si>
    <t>Filtros aplicados</t>
  </si>
  <si>
    <t>Los resultados han sido filtrados por: ${0}.</t>
  </si>
  <si>
    <t>${0}: Lista de filtros aplicados</t>
  </si>
  <si>
    <t>¡Devolución registrada exitosamente!</t>
  </si>
  <si>
    <t>La devolución “${0}” fue registrada correctamente.</t>
  </si>
  <si>
    <t xml:space="preserve">${0}: Código devolución, </t>
  </si>
  <si>
    <t>Estado de venta inválido</t>
  </si>
  <si>
    <t>No es posible registrar devolución para la venta en estado “${0}”.</t>
  </si>
  <si>
    <t>${0}: Estado de venta</t>
  </si>
  <si>
    <t>Fecha fuera de período</t>
  </si>
  <si>
    <t>La fecha de devolución ingresada no es válida: ${0}.</t>
  </si>
  <si>
    <t>${0}: FechaDevolución</t>
  </si>
  <si>
    <t>Cantidad supera máximo devolvible</t>
  </si>
  <si>
    <t>La cantidad solicitada (${0}) supera el máximo que se puede devolver (${1}).</t>
  </si>
  <si>
    <t>${0}: Cantidad solicitada, ${1}: Cantidad máxima</t>
  </si>
  <si>
    <t>Sin ítems en devolución</t>
  </si>
  <si>
    <t>Debe registrar al menos un producto para guardar la devolución.</t>
  </si>
  <si>
    <t>Total devuelto no editable</t>
  </si>
  <si>
    <t>El valor del total devuelto se calcula automáticamente. No es posible modificarlo manualmente.</t>
  </si>
  <si>
    <t>El stock de los productos fue incrementado correctamente según las cantidades devueltas.</t>
  </si>
  <si>
    <t>CATALOGO MENSAJES Actualizar Devolución(HU34)</t>
  </si>
  <si>
    <t>¡Devolución modificada exitosamente!</t>
  </si>
  <si>
    <t>La devolución “${0}” fue modificada correctamente. El TotalDevuelto se ha recalculado.</t>
  </si>
  <si>
    <t>${0}: Código devolución</t>
  </si>
  <si>
    <t>Total recalculado</t>
  </si>
  <si>
    <t>El TotalDevuelto se recalculó automáticamente con los precios de la venta original.</t>
  </si>
  <si>
    <t>CATALOGO MENSAJES Consultar Devolución(HU35)</t>
  </si>
  <si>
    <t>Rango de fechas inválido</t>
  </si>
  <si>
    <t>La fecha de fin (${0}) no puede ser anterior a la fecha de inicio (${1}).</t>
  </si>
  <si>
    <t>${0}: Fecha fin, ${1}: Fecha inicio</t>
  </si>
  <si>
    <t>No se encontraron registros</t>
  </si>
  <si>
    <t>No existen devoluciones que cumplan los criterios de búsqueda.</t>
  </si>
  <si>
    <t>Acceso denegado</t>
  </si>
  <si>
    <t>No tiene permisos para consultar devoluciones. Contacte al administrador.</t>
  </si>
  <si>
    <t>¡Cliente registrado exitosamente!</t>
  </si>
  <si>
    <t>El cliente “${0}” fue registrado correctamente en el sistema.</t>
  </si>
  <si>
    <t>${0}: Nombre completo del cliente</t>
  </si>
  <si>
    <t>Campo obligatorio inválido</t>
  </si>
  <si>
    <t>El campo “${0}” es obligatorio o tiene un formato inválido. Detalle: ${1}.</t>
  </si>
  <si>
    <t>Cliente ya registrado</t>
  </si>
  <si>
    <t>El cliente con ${0} “${1}” ya está registrado en el sistema.</t>
  </si>
  <si>
    <t>${0}: Tipo de dato (Documento/Correo), ${1}: Valor</t>
  </si>
  <si>
    <t>El campo “${0}” no cumple la regla: ${1}. Corrija el valor antes de continuar.</t>
  </si>
  <si>
    <t>${0}: Nombre del campo, ${1}: Regla incumplida</t>
  </si>
  <si>
    <t>CATALOGO MENSAJES ACTUALIZAR CLIENTE (HU24)</t>
  </si>
  <si>
    <t>¡Cliente actualizado exitosamente!</t>
  </si>
  <si>
    <t>El cliente “${0}” fue actualizado correctamente. Los cambios se reflejan en la base de datos y en la visualización.</t>
  </si>
  <si>
    <t>${0}: Nombre cliente</t>
  </si>
  <si>
    <t>¡Sede registrada exitosamente!</t>
  </si>
  <si>
    <t>La sede “${0}” fue registrada correctamente y ya está disponible en el listado de sedes.</t>
  </si>
  <si>
    <t>${0}: Nombre de la sede</t>
  </si>
  <si>
    <t>Sede ya registrada</t>
  </si>
  <si>
    <t>La sede con ${0} “${1}” ya existe en el sistema. No se permite duplicidad.</t>
  </si>
  <si>
    <t>${0}: Tipo de dato (Nombre/Dirección), ${1}: Valor</t>
  </si>
  <si>
    <t>${0}: Nombre campo, ${1}: Descripción error</t>
  </si>
  <si>
    <t>CATALOGO MENSAJES ACTUALIZAR Sede (HU28)</t>
  </si>
  <si>
    <t>¡Sede actualizada exitosamente!</t>
  </si>
  <si>
    <t>La sede “${0}” fue actualizada correctamente y ya se refleja en el listado de sedes.</t>
  </si>
  <si>
    <t xml:space="preserve">Venta registrada </t>
  </si>
  <si>
    <t>La venta #${0} para el cliente “${1}” fue registrada correctamente.</t>
  </si>
  <si>
    <t>${0}: Consecutivo/código de la venta; ${1}: Nombre del cliente</t>
  </si>
  <si>
    <t>Debes registrar un valor para el campo “${0}”, el cual es obligatorio.</t>
  </si>
  <si>
    <t>${0}: Nombre del campo</t>
  </si>
  <si>
    <t>${0}: Nombre del campo; ${1}: Descripción del error (formato/rango/longitud.)</t>
  </si>
  <si>
    <r>
      <t xml:space="preserve">No hay stock suficiente para “${0}”. Solicitado: </t>
    </r>
    <r>
      <rPr>
        <b/>
        <sz val="11"/>
        <color theme="1"/>
        <rFont val="Calibri"/>
        <family val="2"/>
        <scheme val="minor"/>
      </rPr>
      <t>${1}</t>
    </r>
    <r>
      <rPr>
        <sz val="11"/>
        <color theme="1"/>
        <rFont val="Calibri"/>
        <family val="2"/>
        <scheme val="minor"/>
      </rPr>
      <t xml:space="preserve">. Disponible: </t>
    </r>
    <r>
      <rPr>
        <b/>
        <sz val="11"/>
        <color theme="1"/>
        <rFont val="Calibri"/>
        <family val="2"/>
        <scheme val="minor"/>
      </rPr>
      <t>${2}</t>
    </r>
    <r>
      <rPr>
        <sz val="11"/>
        <color theme="1"/>
        <rFont val="Calibri"/>
        <family val="2"/>
        <scheme val="minor"/>
      </rPr>
      <t>. Ajusta la cantidad.</t>
    </r>
  </si>
  <si>
    <t>${0}: Producto; ${1}: Cantidad solicitada; ${2}: Stock disponible</t>
  </si>
  <si>
    <t>Cliente asociado a la venta</t>
  </si>
  <si>
    <r>
      <t>El cliente “${0}” (</t>
    </r>
    <r>
      <rPr>
        <b/>
        <sz val="11"/>
        <color theme="1"/>
        <rFont val="Calibri"/>
        <family val="2"/>
        <scheme val="minor"/>
      </rPr>
      <t>${1}</t>
    </r>
    <r>
      <rPr>
        <sz val="11"/>
        <color theme="1"/>
        <rFont val="Calibri"/>
        <family val="2"/>
        <scheme val="minor"/>
      </rPr>
      <t>) fue asociado a la venta.</t>
    </r>
  </si>
  <si>
    <t>${0}: Nombre del cliente; ${1}: Tipo (Existente/Nuevo)</t>
  </si>
  <si>
    <t>Cliente no válido</t>
  </si>
  <si>
    <t>No fue posible asociar el cliente. Detalle: ${0}.</t>
  </si>
  <si>
    <t>${0}: Motivo/error (no encontrado, datos incompletos.)</t>
  </si>
  <si>
    <t>Consultar venta HU6</t>
  </si>
  <si>
    <t>Filtros activos.</t>
  </si>
  <si>
    <r>
      <t xml:space="preserve">Se aplicaron los filtros seleccionados. Resultados: </t>
    </r>
    <r>
      <rPr>
        <b/>
        <sz val="11"/>
        <color theme="1"/>
        <rFont val="Calibri"/>
        <family val="2"/>
        <scheme val="minor"/>
      </rPr>
      <t>${0}</t>
    </r>
    <r>
      <rPr>
        <sz val="11"/>
        <color theme="1"/>
        <rFont val="Calibri"/>
        <family val="2"/>
        <scheme val="minor"/>
      </rPr>
      <t xml:space="preserve"> venta(s).</t>
    </r>
  </si>
  <si>
    <t>${0}: Número de resultados</t>
  </si>
  <si>
    <t>Venta no encontrada</t>
  </si>
  <si>
    <r>
      <t xml:space="preserve">No se encontró la venta </t>
    </r>
    <r>
      <rPr>
        <b/>
        <sz val="11"/>
        <color theme="1"/>
        <rFont val="Calibri"/>
        <family val="2"/>
        <scheme val="minor"/>
      </rPr>
      <t>#${0}</t>
    </r>
    <r>
      <rPr>
        <sz val="11"/>
        <color theme="1"/>
        <rFont val="Calibri"/>
        <family val="2"/>
        <scheme val="minor"/>
      </rPr>
      <t xml:space="preserve"> o su detalle no está disponible. Verifica el criterio de búsqueda.</t>
    </r>
  </si>
  <si>
    <t>${0}: Consecutivo/código buscado (opcional)</t>
  </si>
  <si>
    <t>Sin resultados</t>
  </si>
  <si>
    <t>No hay ventas que coincidan con los filtros aplicados. Ajusta los criterios y vuelve a intentar.</t>
  </si>
  <si>
    <t>Actualizar venta HU7</t>
  </si>
  <si>
    <t>Venta actualizada</t>
  </si>
  <si>
    <r>
      <t xml:space="preserve">La venta </t>
    </r>
    <r>
      <rPr>
        <b/>
        <sz val="11"/>
        <color theme="1"/>
        <rFont val="Calibri"/>
        <family val="2"/>
        <scheme val="minor"/>
      </rPr>
      <t>#${0}</t>
    </r>
    <r>
      <rPr>
        <sz val="11"/>
        <color theme="1"/>
        <rFont val="Calibri"/>
        <family val="2"/>
        <scheme val="minor"/>
      </rPr>
      <t xml:space="preserve"> fue actualizada correctamente.</t>
    </r>
  </si>
  <si>
    <t>${0}: Consecutivo/código de la venta</t>
  </si>
  <si>
    <t>Stock insuficiente al aumentar</t>
  </si>
  <si>
    <r>
      <t xml:space="preserve">No hay stock suficiente para “${0}”. Adicional solicitado: </t>
    </r>
    <r>
      <rPr>
        <b/>
        <sz val="11"/>
        <color theme="1"/>
        <rFont val="Calibri"/>
        <family val="2"/>
        <scheme val="minor"/>
      </rPr>
      <t>${1}</t>
    </r>
    <r>
      <rPr>
        <sz val="11"/>
        <color theme="1"/>
        <rFont val="Calibri"/>
        <family val="2"/>
        <scheme val="minor"/>
      </rPr>
      <t xml:space="preserve">. Disponible: </t>
    </r>
    <r>
      <rPr>
        <b/>
        <sz val="11"/>
        <color theme="1"/>
        <rFont val="Calibri"/>
        <family val="2"/>
        <scheme val="minor"/>
      </rPr>
      <t>${2}</t>
    </r>
    <r>
      <rPr>
        <sz val="11"/>
        <color theme="1"/>
        <rFont val="Calibri"/>
        <family val="2"/>
        <scheme val="minor"/>
      </rPr>
      <t xml:space="preserve">. </t>
    </r>
  </si>
  <si>
    <t>${0}: Producto; ${1}: Cantidad adicional solicitada; ${2}: Stock disponible</t>
  </si>
  <si>
    <t>Edición no permitida</t>
  </si>
  <si>
    <r>
      <t xml:space="preserve">La venta </t>
    </r>
    <r>
      <rPr>
        <b/>
        <sz val="11"/>
        <color theme="1"/>
        <rFont val="Calibri"/>
        <family val="2"/>
        <scheme val="minor"/>
      </rPr>
      <t>#${0}</t>
    </r>
    <r>
      <rPr>
        <sz val="11"/>
        <color theme="1"/>
        <rFont val="Calibri"/>
        <family val="2"/>
        <scheme val="minor"/>
      </rPr>
      <t xml:space="preserve"> está finalizada/pagada en su totalidad. No es posible editarla.</t>
    </r>
  </si>
  <si>
    <t>Envío registrado</t>
  </si>
  <si>
    <r>
      <t xml:space="preserve">Se registró el envío para la venta </t>
    </r>
    <r>
      <rPr>
        <b/>
        <sz val="11"/>
        <color theme="1"/>
        <rFont val="Calibri"/>
        <family val="2"/>
        <scheme val="minor"/>
      </rPr>
      <t>#${0}</t>
    </r>
    <r>
      <rPr>
        <sz val="11"/>
        <color theme="1"/>
        <rFont val="Calibri"/>
        <family val="2"/>
        <scheme val="minor"/>
      </rPr>
      <t xml:space="preserve"> con fecha </t>
    </r>
    <r>
      <rPr>
        <b/>
        <sz val="11"/>
        <color theme="1"/>
        <rFont val="Calibri"/>
        <family val="2"/>
        <scheme val="minor"/>
      </rPr>
      <t>${1}</t>
    </r>
    <r>
      <rPr>
        <sz val="11"/>
        <color theme="1"/>
        <rFont val="Calibri"/>
        <family val="2"/>
        <scheme val="minor"/>
      </rPr>
      <t xml:space="preserve"> y estado </t>
    </r>
    <r>
      <rPr>
        <b/>
        <sz val="11"/>
        <color theme="1"/>
        <rFont val="Calibri"/>
        <family val="2"/>
        <scheme val="minor"/>
      </rPr>
      <t>“Pendiente”</t>
    </r>
    <r>
      <rPr>
        <sz val="11"/>
        <color theme="1"/>
        <rFont val="Calibri"/>
        <family val="2"/>
        <scheme val="minor"/>
      </rPr>
      <t>. Quedó asociado correctamente a la venta.</t>
    </r>
  </si>
  <si>
    <t>${0}: Consecutivo/código de la venta; ${1}: Fecha de envío</t>
  </si>
  <si>
    <t>${0}: Nombre del campo (Fecha/Dirección/Valor/Estado)</t>
  </si>
  <si>
    <t>Fecha de envío inválida</t>
  </si>
  <si>
    <r>
      <t xml:space="preserve">La fecha de envío </t>
    </r>
    <r>
      <rPr>
        <b/>
        <sz val="11"/>
        <color theme="1"/>
        <rFont val="Calibri"/>
        <family val="2"/>
        <scheme val="minor"/>
      </rPr>
      <t>${0}</t>
    </r>
    <r>
      <rPr>
        <sz val="11"/>
        <color theme="1"/>
        <rFont val="Calibri"/>
        <family val="2"/>
        <scheme val="minor"/>
      </rPr>
      <t xml:space="preserve"> es anterior a la fecha de la venta </t>
    </r>
    <r>
      <rPr>
        <b/>
        <sz val="11"/>
        <color theme="1"/>
        <rFont val="Calibri"/>
        <family val="2"/>
        <scheme val="minor"/>
      </rPr>
      <t>${1}</t>
    </r>
    <r>
      <rPr>
        <sz val="11"/>
        <color theme="1"/>
        <rFont val="Calibri"/>
        <family val="2"/>
        <scheme val="minor"/>
      </rPr>
      <t>. Ajusta la fecha para continuar.</t>
    </r>
  </si>
  <si>
    <t>${0}: Fecha de envío; ${1}: Fecha de la venta</t>
  </si>
  <si>
    <t>Envíos asociados a la venta</t>
  </si>
  <si>
    <r>
      <t xml:space="preserve">Se han registrado </t>
    </r>
    <r>
      <rPr>
        <b/>
        <sz val="11"/>
        <color theme="1"/>
        <rFont val="Calibri"/>
        <family val="2"/>
        <scheme val="minor"/>
      </rPr>
      <t>${0}</t>
    </r>
    <r>
      <rPr>
        <sz val="11"/>
        <color theme="1"/>
        <rFont val="Calibri"/>
        <family val="2"/>
        <scheme val="minor"/>
      </rPr>
      <t xml:space="preserve"> envío(s) asociados a la venta </t>
    </r>
    <r>
      <rPr>
        <b/>
        <sz val="11"/>
        <color theme="1"/>
        <rFont val="Calibri"/>
        <family val="2"/>
        <scheme val="minor"/>
      </rPr>
      <t>#${1}</t>
    </r>
    <r>
      <rPr>
        <sz val="11"/>
        <color theme="1"/>
        <rFont val="Calibri"/>
        <family val="2"/>
        <scheme val="minor"/>
      </rPr>
      <t>.</t>
    </r>
  </si>
  <si>
    <t>${0}: Número total de envíos; ${1}: Consecutivo/código de la venta</t>
  </si>
  <si>
    <t>Actualizar Envio HU32</t>
  </si>
  <si>
    <t>Envío actualizado</t>
  </si>
  <si>
    <r>
      <t xml:space="preserve">El envío </t>
    </r>
    <r>
      <rPr>
        <b/>
        <sz val="11"/>
        <color theme="1"/>
        <rFont val="Calibri"/>
        <family val="2"/>
        <scheme val="minor"/>
      </rPr>
      <t>#${0}</t>
    </r>
    <r>
      <rPr>
        <sz val="11"/>
        <color theme="1"/>
        <rFont val="Calibri"/>
        <family val="2"/>
        <scheme val="minor"/>
      </rPr>
      <t xml:space="preserve"> de la venta </t>
    </r>
    <r>
      <rPr>
        <b/>
        <sz val="11"/>
        <color theme="1"/>
        <rFont val="Calibri"/>
        <family val="2"/>
        <scheme val="minor"/>
      </rPr>
      <t>#${1}</t>
    </r>
    <r>
      <rPr>
        <sz val="11"/>
        <color theme="1"/>
        <rFont val="Calibri"/>
        <family val="2"/>
        <scheme val="minor"/>
      </rPr>
      <t xml:space="preserve"> fue actualizado correctamente. Los cambios ya se reflejan en la venta asociada y en el listado de envíos.</t>
    </r>
  </si>
  <si>
    <t>${0}: Consecutivo/código del envío; ${1}: Consecutivo/código de la venta</t>
  </si>
  <si>
    <t>Edición restringida por estado</t>
  </si>
  <si>
    <r>
      <t xml:space="preserve">El envío está en estado </t>
    </r>
    <r>
      <rPr>
        <b/>
        <sz val="11"/>
        <color theme="1"/>
        <rFont val="Calibri"/>
        <family val="2"/>
        <scheme val="minor"/>
      </rPr>
      <t>“${0}”</t>
    </r>
    <r>
      <rPr>
        <sz val="11"/>
        <color theme="1"/>
        <rFont val="Calibri"/>
        <family val="2"/>
        <scheme val="minor"/>
      </rPr>
      <t>. Solo es posible editar campos no críticos (</t>
    </r>
    <r>
      <rPr>
        <b/>
        <sz val="11"/>
        <color theme="1"/>
        <rFont val="Calibri"/>
        <family val="2"/>
        <scheme val="minor"/>
      </rPr>
      <t>${1}</t>
    </r>
    <r>
      <rPr>
        <sz val="11"/>
        <color theme="1"/>
        <rFont val="Calibri"/>
        <family val="2"/>
        <scheme val="minor"/>
      </rPr>
      <t>). Los datos clave (destino, fecha, vehículo) no se pueden modificar.</t>
    </r>
  </si>
  <si>
    <t>${0}: Estado (Entregado/Cancelado); ${1}: Campos editables permitidos (precio, observaciones)</t>
  </si>
  <si>
    <t>¡Producto registrado exitosamente!</t>
  </si>
  <si>
    <t>El producto “${0}” fue creado correctamente y ya  esta disponible catálogo de productos.</t>
  </si>
  <si>
    <t>${0}: Nombre del producto</t>
  </si>
  <si>
    <t>Producto ya existente</t>
  </si>
  <si>
    <t>Ya existe un producto con el nombre “${0}”. No se permite registrar duplicados.</t>
  </si>
  <si>
    <t>${0}: Nombre del campo (Nombre/UnidadMedida/PrecioUnitario/Stock/Estado/Categoría)</t>
  </si>
  <si>
    <t>Valor inválido (debe ser positivo)</t>
  </si>
  <si>
    <t>El campo “${0}” debe ser un número positivo. Valor ingresado: ${1}. No se guardó el producto.</t>
  </si>
  <si>
    <t>${0}: Campo (PrecioUnitario/Stock); ${1}: Valor ingresado</t>
  </si>
  <si>
    <t>Actualizar Producto HU 12</t>
  </si>
  <si>
    <t>Producto actualizado</t>
  </si>
  <si>
    <t>El producto “${0}” fue actualizado correctamente.</t>
  </si>
  <si>
    <t>${0}: Nombre del campo; ${1}: Descripción del error (formato/rango/longitud, etc.)</t>
  </si>
  <si>
    <t>Modificar estado producto HU 30</t>
  </si>
  <si>
    <t>Estado de producto actualizado</t>
  </si>
  <si>
    <r>
      <t xml:space="preserve">El estado del producto “${0}” fue actualizado de </t>
    </r>
    <r>
      <rPr>
        <b/>
        <sz val="11"/>
        <color theme="1"/>
        <rFont val="Calibri"/>
        <family val="2"/>
        <scheme val="minor"/>
      </rPr>
      <t>${1}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${2}</t>
    </r>
    <r>
      <rPr>
        <sz val="11"/>
        <color theme="1"/>
        <rFont val="Calibri"/>
        <family val="2"/>
        <scheme val="minor"/>
      </rPr>
      <t xml:space="preserve">. </t>
    </r>
  </si>
  <si>
    <t>${0}: Nombre del producto; ${1}: Estado anterior; ${2}: Nuevo estado</t>
  </si>
  <si>
    <t>Acción no permitida</t>
  </si>
  <si>
    <r>
      <t xml:space="preserve">No tienes permisos para modificar el estado de productos. Esta acción está habilitada únicamente para el rol </t>
    </r>
    <r>
      <rPr>
        <b/>
        <sz val="11"/>
        <color theme="1"/>
        <rFont val="Calibri"/>
        <family val="2"/>
        <scheme val="minor"/>
      </rPr>
      <t>Administrador</t>
    </r>
    <r>
      <rPr>
        <sz val="11"/>
        <color theme="1"/>
        <rFont val="Calibri"/>
        <family val="2"/>
        <scheme val="minor"/>
      </rPr>
      <t>.</t>
    </r>
  </si>
  <si>
    <t>Producción creada</t>
  </si>
  <si>
    <r>
      <t xml:space="preserve">Se registró la producción de </t>
    </r>
    <r>
      <rPr>
        <b/>
        <sz val="11"/>
        <color theme="1"/>
        <rFont val="Calibri"/>
        <family val="2"/>
        <scheme val="minor"/>
      </rPr>
      <t>${0}</t>
    </r>
    <r>
      <rPr>
        <sz val="11"/>
        <color theme="1"/>
        <rFont val="Calibri"/>
        <family val="2"/>
        <scheme val="minor"/>
      </rPr>
      <t xml:space="preserve"> unidad(es) del producto “${1}” para la fecha </t>
    </r>
    <r>
      <rPr>
        <b/>
        <sz val="11"/>
        <color theme="1"/>
        <rFont val="Calibri"/>
        <family val="2"/>
        <scheme val="minor"/>
      </rPr>
      <t>${2}</t>
    </r>
    <r>
      <rPr>
        <sz val="11"/>
        <color theme="1"/>
        <rFont val="Calibri"/>
        <family val="2"/>
        <scheme val="minor"/>
      </rPr>
      <t xml:space="preserve">. Se descontaron los insumos y se actualizó el stock del producto. </t>
    </r>
  </si>
  <si>
    <t>${0}: Cantidad producida; ${1}: Producto; ${2}: Fecha</t>
  </si>
  <si>
    <t>Registro de producción duplicado</t>
  </si>
  <si>
    <r>
      <t xml:space="preserve">Ya existe un registro de producción para el producto “${0}” en la fecha </t>
    </r>
    <r>
      <rPr>
        <b/>
        <sz val="11"/>
        <color theme="1"/>
        <rFont val="Calibri"/>
        <family val="2"/>
        <scheme val="minor"/>
      </rPr>
      <t>${1}</t>
    </r>
    <r>
      <rPr>
        <sz val="11"/>
        <color theme="1"/>
        <rFont val="Calibri"/>
        <family val="2"/>
        <scheme val="minor"/>
      </rPr>
      <t>. No se permiten duplicados.</t>
    </r>
  </si>
  <si>
    <t>${0}: Producto; ${1}: Fecha</t>
  </si>
  <si>
    <t>${0}: Nombre del campo; ${1}: Descripción del error (formato/rango/existencia, etc.)</t>
  </si>
  <si>
    <t>Cantidad producida inválida</t>
  </si>
  <si>
    <r>
      <t xml:space="preserve">La cantidad producida debe ser un número </t>
    </r>
    <r>
      <rPr>
        <b/>
        <sz val="11"/>
        <color theme="1"/>
        <rFont val="Calibri"/>
        <family val="2"/>
        <scheme val="minor"/>
      </rPr>
      <t>mayor que cero</t>
    </r>
    <r>
      <rPr>
        <sz val="11"/>
        <color theme="1"/>
        <rFont val="Calibri"/>
        <family val="2"/>
        <scheme val="minor"/>
      </rPr>
      <t xml:space="preserve">. Valor ingresado: </t>
    </r>
    <r>
      <rPr>
        <b/>
        <sz val="11"/>
        <color theme="1"/>
        <rFont val="Calibri"/>
        <family val="2"/>
        <scheme val="minor"/>
      </rPr>
      <t>${0}</t>
    </r>
    <r>
      <rPr>
        <sz val="11"/>
        <color theme="1"/>
        <rFont val="Calibri"/>
        <family val="2"/>
        <scheme val="minor"/>
      </rPr>
      <t>.</t>
    </r>
  </si>
  <si>
    <t>Insumos insuficientes</t>
  </si>
  <si>
    <r>
      <t xml:space="preserve">No hay insumos suficientes para producir </t>
    </r>
    <r>
      <rPr>
        <b/>
        <sz val="11"/>
        <color theme="1"/>
        <rFont val="Calibri"/>
        <family val="2"/>
        <scheme val="minor"/>
      </rPr>
      <t>${0}</t>
    </r>
    <r>
      <rPr>
        <sz val="11"/>
        <color theme="1"/>
        <rFont val="Calibri"/>
        <family val="2"/>
        <scheme val="minor"/>
      </rPr>
      <t xml:space="preserve"> de “${1}”. Insumo afectado: </t>
    </r>
    <r>
      <rPr>
        <b/>
        <sz val="11"/>
        <color theme="1"/>
        <rFont val="Calibri"/>
        <family val="2"/>
        <scheme val="minor"/>
      </rPr>
      <t>${2}</t>
    </r>
    <r>
      <rPr>
        <sz val="11"/>
        <color theme="1"/>
        <rFont val="Calibri"/>
        <family val="2"/>
        <scheme val="minor"/>
      </rPr>
      <t xml:space="preserve">. Requerido: </t>
    </r>
    <r>
      <rPr>
        <b/>
        <sz val="11"/>
        <color theme="1"/>
        <rFont val="Calibri"/>
        <family val="2"/>
        <scheme val="minor"/>
      </rPr>
      <t>${3}</t>
    </r>
    <r>
      <rPr>
        <sz val="11"/>
        <color theme="1"/>
        <rFont val="Calibri"/>
        <family val="2"/>
        <scheme val="minor"/>
      </rPr>
      <t xml:space="preserve">. Disponible: </t>
    </r>
    <r>
      <rPr>
        <b/>
        <sz val="11"/>
        <color theme="1"/>
        <rFont val="Calibri"/>
        <family val="2"/>
        <scheme val="minor"/>
      </rPr>
      <t>${4}</t>
    </r>
    <r>
      <rPr>
        <sz val="11"/>
        <color theme="1"/>
        <rFont val="Calibri"/>
        <family val="2"/>
        <scheme val="minor"/>
      </rPr>
      <t>. Corrige lo valores</t>
    </r>
  </si>
  <si>
    <t>${0}: Cantidad a producir; ${1}: Producto; ${2}: Insumo; ${3}: Cantidad requerida; ${4}: Cantidad disponible</t>
  </si>
  <si>
    <t>Actualizar producción HU 16</t>
  </si>
  <si>
    <t>Producción actualizada</t>
  </si>
  <si>
    <r>
      <t xml:space="preserve">La producción </t>
    </r>
    <r>
      <rPr>
        <b/>
        <sz val="11"/>
        <color theme="1"/>
        <rFont val="Calibri"/>
        <family val="2"/>
        <scheme val="minor"/>
      </rPr>
      <t>#${0}</t>
    </r>
    <r>
      <rPr>
        <sz val="11"/>
        <color theme="1"/>
        <rFont val="Calibri"/>
        <family val="2"/>
        <scheme val="minor"/>
      </rPr>
      <t xml:space="preserve"> del producto “${1}” fue actualizada correctamente. Se ajustaron los stocks del producto e insumos según el cambio. </t>
    </r>
  </si>
  <si>
    <t>${0}: Código/consecutivo de la producción; ${1}: Producto</t>
  </si>
  <si>
    <t>Disminución supera stock disponible</t>
  </si>
  <si>
    <r>
      <t xml:space="preserve">No es posible disminuir </t>
    </r>
    <r>
      <rPr>
        <b/>
        <sz val="11"/>
        <color theme="1"/>
        <rFont val="Calibri"/>
        <family val="2"/>
        <scheme val="minor"/>
      </rPr>
      <t>${0}</t>
    </r>
    <r>
      <rPr>
        <sz val="11"/>
        <color theme="1"/>
        <rFont val="Calibri"/>
        <family val="2"/>
        <scheme val="minor"/>
      </rPr>
      <t xml:space="preserve"> unidad(es) del producto “${1}” porque solo hay </t>
    </r>
    <r>
      <rPr>
        <b/>
        <sz val="11"/>
        <color theme="1"/>
        <rFont val="Calibri"/>
        <family val="2"/>
        <scheme val="minor"/>
      </rPr>
      <t>${2}</t>
    </r>
    <r>
      <rPr>
        <sz val="11"/>
        <color theme="1"/>
        <rFont val="Calibri"/>
        <family val="2"/>
        <scheme val="minor"/>
      </rPr>
      <t xml:space="preserve"> disponible en stock. Ajusta la cantidad. No se guardaron cambios.</t>
    </r>
  </si>
  <si>
    <t>${0}: Cantidad a disminuir; ${1}: Producto; ${2}: Stock disponible</t>
  </si>
  <si>
    <t>Insumos devueltos al stock</t>
  </si>
  <si>
    <r>
      <t xml:space="preserve">Se devolvieron </t>
    </r>
    <r>
      <rPr>
        <b/>
        <sz val="11"/>
        <color theme="1"/>
        <rFont val="Calibri"/>
        <family val="2"/>
        <scheme val="minor"/>
      </rPr>
      <t>${0}</t>
    </r>
    <r>
      <rPr>
        <sz val="11"/>
        <color theme="1"/>
        <rFont val="Calibri"/>
        <family val="2"/>
        <scheme val="minor"/>
      </rPr>
      <t xml:space="preserve"> unidad(es) de insumos al stock para la producción </t>
    </r>
    <r>
      <rPr>
        <b/>
        <sz val="11"/>
        <color theme="1"/>
        <rFont val="Calibri"/>
        <family val="2"/>
        <scheme val="minor"/>
      </rPr>
      <t>#${1}</t>
    </r>
    <r>
      <rPr>
        <sz val="11"/>
        <color theme="1"/>
        <rFont val="Calibri"/>
        <family val="2"/>
        <scheme val="minor"/>
      </rPr>
      <t xml:space="preserve">. </t>
    </r>
  </si>
  <si>
    <t>${0}: Total de unidades devueltas; ${1}: Código/consecutivo de la producción</t>
  </si>
  <si>
    <t>Stock insuficiente (defectuosos)</t>
  </si>
  <si>
    <r>
      <t xml:space="preserve">El incremento de </t>
    </r>
    <r>
      <rPr>
        <b/>
        <sz val="11"/>
        <color theme="1"/>
        <rFont val="Calibri"/>
        <family val="2"/>
        <scheme val="minor"/>
      </rPr>
      <t>Cantidad_Defectuosas</t>
    </r>
    <r>
      <rPr>
        <sz val="11"/>
        <color theme="1"/>
        <rFont val="Calibri"/>
        <family val="2"/>
        <scheme val="minor"/>
      </rPr>
      <t xml:space="preserve"> (Δ = </t>
    </r>
    <r>
      <rPr>
        <b/>
        <sz val="11"/>
        <color theme="1"/>
        <rFont val="Calibri"/>
        <family val="2"/>
        <scheme val="minor"/>
      </rPr>
      <t>${0}</t>
    </r>
    <r>
      <rPr>
        <sz val="11"/>
        <color theme="1"/>
        <rFont val="Calibri"/>
        <family val="2"/>
        <scheme val="minor"/>
      </rPr>
      <t xml:space="preserve">) supera el stock disponible del producto “${1}”. Disponible: </t>
    </r>
    <r>
      <rPr>
        <b/>
        <sz val="11"/>
        <color theme="1"/>
        <rFont val="Calibri"/>
        <family val="2"/>
        <scheme val="minor"/>
      </rPr>
      <t>${2}</t>
    </r>
    <r>
      <rPr>
        <sz val="11"/>
        <color theme="1"/>
        <rFont val="Calibri"/>
        <family val="2"/>
        <scheme val="minor"/>
      </rPr>
      <t>. Corrige los valores.</t>
    </r>
  </si>
  <si>
    <t>${0}: Diferencia nuevo−anterior; ${1}: Producto; ${2}: Stock disponible del producto</t>
  </si>
  <si>
    <t>Eliminar producción HU 17</t>
  </si>
  <si>
    <t>Producción eliminada</t>
  </si>
  <si>
    <r>
      <t xml:space="preserve">La producción </t>
    </r>
    <r>
      <rPr>
        <b/>
        <sz val="11"/>
        <color theme="1"/>
        <rFont val="Calibri"/>
        <family val="2"/>
        <scheme val="minor"/>
      </rPr>
      <t>#${0}</t>
    </r>
    <r>
      <rPr>
        <sz val="11"/>
        <color theme="1"/>
        <rFont val="Calibri"/>
        <family val="2"/>
        <scheme val="minor"/>
      </rPr>
      <t xml:space="preserve"> del producto “${1}” fue eliminada correctamente. Se revirtieron los movimientos de inventario (</t>
    </r>
    <r>
      <rPr>
        <b/>
        <sz val="11"/>
        <color theme="1"/>
        <rFont val="Calibri"/>
        <family val="2"/>
        <scheme val="minor"/>
      </rPr>
      <t>−${2}</t>
    </r>
    <r>
      <rPr>
        <sz val="11"/>
        <color theme="1"/>
        <rFont val="Calibri"/>
        <family val="2"/>
        <scheme val="minor"/>
      </rPr>
      <t xml:space="preserve"> al producto fabricado y </t>
    </r>
    <r>
      <rPr>
        <b/>
        <sz val="11"/>
        <color theme="1"/>
        <rFont val="Calibri"/>
        <family val="2"/>
        <scheme val="minor"/>
      </rPr>
      <t>+${3}</t>
    </r>
    <r>
      <rPr>
        <sz val="11"/>
        <color theme="1"/>
        <rFont val="Calibri"/>
        <family val="2"/>
        <scheme val="minor"/>
      </rPr>
      <t xml:space="preserve"> a los insumos).</t>
    </r>
  </si>
  <si>
    <t>${0}: Código/consecutivo de la producción; ${1}: Producto; ${2}: Cantidad fabricada revertida; ${3}: Total de insumos devueltos</t>
  </si>
  <si>
    <t>¡Proveedor registrado exitosamente!</t>
  </si>
  <si>
    <t>El proveedor “${0}” (Tipo: ${1}, Doc.: ${2}-${3}) fue registrado correctamente.</t>
  </si>
  <si>
    <t>${0}: Nombre mostrado (Razón social o Nombre completo); ${1}: Tipo de proveedor (Persona jurídica/Natural); ${2}: Tipo de documento; ${3}: Número de documento</t>
  </si>
  <si>
    <t>Documento duplicado</t>
  </si>
  <si>
    <r>
      <rPr>
        <sz val="11"/>
        <color rgb="FF000000"/>
        <rFont val="Calibri"/>
        <scheme val="minor"/>
      </rPr>
      <t xml:space="preserve">Ya existe un proveedor con el </t>
    </r>
    <r>
      <rPr>
        <b/>
        <sz val="11"/>
        <color rgb="FF000000"/>
        <rFont val="Calibri"/>
        <scheme val="minor"/>
      </rPr>
      <t>tipo y número de documento</t>
    </r>
    <r>
      <rPr>
        <sz val="11"/>
        <color rgb="FF000000"/>
        <rFont val="Calibri"/>
        <scheme val="minor"/>
      </rPr>
      <t xml:space="preserve"> ${2}-“${3}”. </t>
    </r>
  </si>
  <si>
    <t>${2}: Tipo de documento; ${3}: Número de documento</t>
  </si>
  <si>
    <t>Razón social obligatoria</t>
  </si>
  <si>
    <r>
      <rPr>
        <sz val="11"/>
        <color rgb="FF000000"/>
        <rFont val="Calibri"/>
        <scheme val="minor"/>
      </rPr>
      <t xml:space="preserve">Para </t>
    </r>
    <r>
      <rPr>
        <b/>
        <sz val="11"/>
        <color rgb="FF000000"/>
        <rFont val="Calibri"/>
        <scheme val="minor"/>
      </rPr>
      <t>persona jurídica</t>
    </r>
    <r>
      <rPr>
        <sz val="11"/>
        <color rgb="FF000000"/>
        <rFont val="Calibri"/>
        <scheme val="minor"/>
      </rPr>
      <t xml:space="preserve">, el campo </t>
    </r>
    <r>
      <rPr>
        <b/>
        <sz val="11"/>
        <color rgb="FF000000"/>
        <rFont val="Calibri"/>
        <scheme val="minor"/>
      </rPr>
      <t>Razón social</t>
    </r>
    <r>
      <rPr>
        <sz val="11"/>
        <color rgb="FF000000"/>
        <rFont val="Calibri"/>
        <scheme val="minor"/>
      </rPr>
      <t xml:space="preserve"> es obligatorio. No se guardó el registro.</t>
    </r>
  </si>
  <si>
    <t>Nombre completo solo para persona natural</t>
  </si>
  <si>
    <r>
      <t xml:space="preserve">El campo </t>
    </r>
    <r>
      <rPr>
        <b/>
        <sz val="11"/>
        <color theme="1"/>
        <rFont val="Calibri"/>
        <family val="2"/>
        <scheme val="minor"/>
      </rPr>
      <t>Nombre completo</t>
    </r>
    <r>
      <rPr>
        <sz val="11"/>
        <color theme="1"/>
        <rFont val="Calibri"/>
        <family val="2"/>
        <scheme val="minor"/>
      </rPr>
      <t xml:space="preserve"> solo se permite para </t>
    </r>
    <r>
      <rPr>
        <b/>
        <sz val="11"/>
        <color theme="1"/>
        <rFont val="Calibri"/>
        <family val="2"/>
        <scheme val="minor"/>
      </rPr>
      <t>persona natural</t>
    </r>
    <r>
      <rPr>
        <sz val="11"/>
        <color theme="1"/>
        <rFont val="Calibri"/>
        <family val="2"/>
        <scheme val="minor"/>
      </rPr>
      <t xml:space="preserve">. Para </t>
    </r>
    <r>
      <rPr>
        <b/>
        <sz val="11"/>
        <color theme="1"/>
        <rFont val="Calibri"/>
        <family val="2"/>
        <scheme val="minor"/>
      </rPr>
      <t>persona jurídica</t>
    </r>
    <r>
      <rPr>
        <sz val="11"/>
        <color theme="1"/>
        <rFont val="Calibri"/>
        <family val="2"/>
        <scheme val="minor"/>
      </rPr>
      <t xml:space="preserve">, usa </t>
    </r>
    <r>
      <rPr>
        <b/>
        <sz val="11"/>
        <color theme="1"/>
        <rFont val="Calibri"/>
        <family val="2"/>
        <scheme val="minor"/>
      </rPr>
      <t>Razón social</t>
    </r>
    <r>
      <rPr>
        <sz val="11"/>
        <color theme="1"/>
        <rFont val="Calibri"/>
        <family val="2"/>
        <scheme val="minor"/>
      </rPr>
      <t>.</t>
    </r>
  </si>
  <si>
    <t>El correo “${0}” tiene un formato inválido o contiene caracteres no permitidos.</t>
  </si>
  <si>
    <t>Celular debe ser numérico</t>
  </si>
  <si>
    <r>
      <t xml:space="preserve">El campo </t>
    </r>
    <r>
      <rPr>
        <b/>
        <sz val="11"/>
        <color theme="1"/>
        <rFont val="Calibri"/>
        <family val="2"/>
        <scheme val="minor"/>
      </rPr>
      <t>Celular</t>
    </r>
    <r>
      <rPr>
        <sz val="11"/>
        <color theme="1"/>
        <rFont val="Calibri"/>
        <family val="2"/>
        <scheme val="minor"/>
      </rPr>
      <t xml:space="preserve"> debe ser numérico. Valor ingresado: “${0}”. </t>
    </r>
  </si>
  <si>
    <t>Campos obligatorios incompletos</t>
  </si>
  <si>
    <t>Faltan campos obligatorios según el tipo de proveedor: ${0}. Completa la información para continuar.</t>
  </si>
  <si>
    <t>${0}: Lista de campos faltantes</t>
  </si>
  <si>
    <t>Actualizar proveedor HU 22</t>
  </si>
  <si>
    <t>Proveedor actualizado</t>
  </si>
  <si>
    <t>El proveedor “${0}” fue actualizado correctamente.</t>
  </si>
  <si>
    <t>${0}: Nombre mostrado (Razón social o Nombre completo)</t>
  </si>
  <si>
    <t>Edición bloqueada: proveedor inactivo</t>
  </si>
  <si>
    <r>
      <t xml:space="preserve">El proveedor “${0}” se encuentra </t>
    </r>
    <r>
      <rPr>
        <b/>
        <sz val="11"/>
        <color theme="1"/>
        <rFont val="Calibri"/>
        <family val="2"/>
        <scheme val="minor"/>
      </rPr>
      <t>inactivo</t>
    </r>
    <r>
      <rPr>
        <sz val="11"/>
        <color theme="1"/>
        <rFont val="Calibri"/>
        <family val="2"/>
        <scheme val="minor"/>
      </rPr>
      <t>. No es posible editar su información. Actívalo para habilitar la edición.</t>
    </r>
  </si>
  <si>
    <t>${0}: Nombre mostrado</t>
  </si>
  <si>
    <t>Modificar estado proveedor HU31</t>
  </si>
  <si>
    <t>Estado de proveedor actualizado</t>
  </si>
  <si>
    <r>
      <t xml:space="preserve">El estado del proveedor “${0}” fue actualizado de </t>
    </r>
    <r>
      <rPr>
        <b/>
        <sz val="11"/>
        <color theme="1"/>
        <rFont val="Calibri"/>
        <family val="2"/>
        <scheme val="minor"/>
      </rPr>
      <t>${1}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${2}</t>
    </r>
    <r>
      <rPr>
        <sz val="11"/>
        <color theme="1"/>
        <rFont val="Calibri"/>
        <family val="2"/>
        <scheme val="minor"/>
      </rPr>
      <t>. El cambio ya se refleja en la lista y en las reglas de selección para abastecimientos.</t>
    </r>
  </si>
  <si>
    <t>${0}: Nombre del proveedor; ${1}: Estado anterior (Habilitado/Inhabilitado); ${2}: Nuevo estado (Habilitado/Inhabilitado)</t>
  </si>
  <si>
    <r>
      <t xml:space="preserve">No tienes permisos para modificar el estado de proveedores. Esta acción está disponible únicamente para el rol </t>
    </r>
    <r>
      <rPr>
        <b/>
        <sz val="11"/>
        <color theme="1"/>
        <rFont val="Calibri"/>
        <family val="2"/>
        <scheme val="minor"/>
      </rPr>
      <t>Administrador</t>
    </r>
    <r>
      <rPr>
        <sz val="11"/>
        <color theme="1"/>
        <rFont val="Calibri"/>
        <family val="2"/>
        <scheme val="minor"/>
      </rPr>
      <t>.</t>
    </r>
  </si>
  <si>
    <t>¡Categoría registrada exitosamente!</t>
  </si>
  <si>
    <t>La categoría “${0}” fue creada correctamente.</t>
  </si>
  <si>
    <t>${0}: Nombre de la categoría</t>
  </si>
  <si>
    <t>Campo obligatorio faltante</t>
  </si>
  <si>
    <t>Faltan campos obligatorios: ${0}. Completa la información para continuar.</t>
  </si>
  <si>
    <t>${0}: Lista de campos faltantes (p. ej., Nombre)</t>
  </si>
  <si>
    <t>Nombre de categoría duplicado</t>
  </si>
  <si>
    <t>Ya existe una categoría con el nombre “${0}”. No se permite duplicidad.</t>
  </si>
  <si>
    <t>¡Categoría actualizada exitosamente!</t>
  </si>
  <si>
    <t>La categoría “${0}” fue actualizada correctamente. La lista de categorías se actualizó de inmediato.</t>
  </si>
  <si>
    <t>¡Persona registrada exitosamente!</t>
  </si>
  <si>
    <t>La Persona“${0}” fue creada correctamente.</t>
  </si>
  <si>
    <t>${0}: Nombre de la persona</t>
  </si>
  <si>
    <t>¡Persona actualizada exitosamente!</t>
  </si>
  <si>
    <t>La Persona“${0}” fue actualizada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</si>
</sst>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 applyProtection="1">
      <alignment vertical="center"/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0" fillId="2" borderId="1" xfId="0" applyFill="1" applyBorder="1" applyAlignment="1" applyProtection="1">
      <alignment vertical="center"/>
      <protection locked="0"/>
    </xf>
    <xf numFmtId="49" fontId="0" fillId="2" borderId="1" xfId="0" applyNumberFormat="1" applyFill="1" applyBorder="1" applyAlignment="1" applyProtection="1">
      <alignment vertical="center"/>
      <protection locked="0"/>
    </xf>
    <xf numFmtId="0" fontId="0" fillId="3" borderId="1" xfId="0" applyFill="1" applyBorder="1" applyAlignment="1" applyProtection="1">
      <alignment vertical="center"/>
      <protection locked="0"/>
    </xf>
    <xf numFmtId="0" fontId="0" fillId="3" borderId="1" xfId="0" applyFill="1" applyBorder="1" applyAlignment="1">
      <alignment vertical="center"/>
    </xf>
    <xf numFmtId="0" fontId="0" fillId="2" borderId="1" xfId="0" applyFill="1" applyBorder="1" applyAlignment="1" applyProtection="1">
      <alignment vertical="center" wrapText="1"/>
      <protection locked="0"/>
    </xf>
    <xf numFmtId="49" fontId="0" fillId="3" borderId="1" xfId="0" applyNumberFormat="1" applyFill="1" applyBorder="1" applyAlignment="1" applyProtection="1">
      <alignment vertical="center"/>
      <protection locked="0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3" fillId="4" borderId="1" xfId="0" applyFont="1" applyFill="1" applyBorder="1"/>
    <xf numFmtId="0" fontId="3" fillId="4" borderId="2" xfId="0" applyFont="1" applyFill="1" applyBorder="1"/>
    <xf numFmtId="0" fontId="3" fillId="4" borderId="2" xfId="0" applyFont="1" applyFill="1" applyBorder="1" applyAlignment="1">
      <alignment wrapText="1"/>
    </xf>
    <xf numFmtId="0" fontId="3" fillId="4" borderId="3" xfId="0" applyFont="1" applyFill="1" applyBorder="1"/>
    <xf numFmtId="0" fontId="3" fillId="4" borderId="4" xfId="0" applyFont="1" applyFill="1" applyBorder="1"/>
    <xf numFmtId="0" fontId="3" fillId="4" borderId="4" xfId="0" applyFont="1" applyFill="1" applyBorder="1" applyAlignment="1">
      <alignment wrapText="1"/>
    </xf>
    <xf numFmtId="0" fontId="0" fillId="2" borderId="5" xfId="0" applyFill="1" applyBorder="1" applyAlignment="1" applyProtection="1">
      <alignment vertical="center" wrapText="1"/>
      <protection locked="0"/>
    </xf>
    <xf numFmtId="0" fontId="0" fillId="2" borderId="6" xfId="0" applyFill="1" applyBorder="1" applyAlignment="1" applyProtection="1">
      <alignment vertical="center" wrapText="1"/>
      <protection locked="0"/>
    </xf>
    <xf numFmtId="0" fontId="0" fillId="2" borderId="7" xfId="0" applyFill="1" applyBorder="1" applyAlignment="1" applyProtection="1">
      <alignment vertical="center" wrapText="1"/>
      <protection locked="0"/>
    </xf>
    <xf numFmtId="0" fontId="3" fillId="2" borderId="5" xfId="0" applyFont="1" applyFill="1" applyBorder="1" applyAlignment="1">
      <alignment wrapText="1"/>
    </xf>
    <xf numFmtId="0" fontId="3" fillId="2" borderId="5" xfId="0" applyFont="1" applyFill="1" applyBorder="1"/>
    <xf numFmtId="0" fontId="0" fillId="2" borderId="5" xfId="0" applyFill="1" applyBorder="1" applyAlignment="1" applyProtection="1">
      <alignment vertical="center"/>
      <protection locked="0"/>
    </xf>
    <xf numFmtId="0" fontId="0" fillId="3" borderId="6" xfId="0" applyFill="1" applyBorder="1" applyAlignment="1">
      <alignment vertical="center"/>
    </xf>
    <xf numFmtId="0" fontId="0" fillId="2" borderId="7" xfId="0" applyFill="1" applyBorder="1" applyAlignment="1" applyProtection="1">
      <alignment vertical="center"/>
      <protection locked="0"/>
    </xf>
    <xf numFmtId="0" fontId="0" fillId="2" borderId="3" xfId="0" applyFill="1" applyBorder="1" applyAlignment="1" applyProtection="1">
      <alignment vertical="center" wrapText="1"/>
      <protection locked="0"/>
    </xf>
    <xf numFmtId="0" fontId="0" fillId="2" borderId="3" xfId="0" applyFill="1" applyBorder="1" applyAlignment="1" applyProtection="1">
      <alignment vertical="center"/>
      <protection locked="0"/>
    </xf>
    <xf numFmtId="0" fontId="3" fillId="4" borderId="1" xfId="0" applyFont="1" applyFill="1" applyBorder="1" applyAlignment="1">
      <alignment wrapText="1"/>
    </xf>
    <xf numFmtId="0" fontId="3" fillId="4" borderId="2" xfId="0" applyFont="1" applyFill="1" applyBorder="1" applyAlignment="1">
      <alignment vertical="center" wrapText="1"/>
    </xf>
    <xf numFmtId="0" fontId="4" fillId="4" borderId="1" xfId="0" applyFont="1" applyFill="1" applyBorder="1"/>
    <xf numFmtId="0" fontId="3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3" fillId="4" borderId="3" xfId="0" applyFont="1" applyFill="1" applyBorder="1" applyAlignment="1">
      <alignment wrapText="1"/>
    </xf>
    <xf numFmtId="0" fontId="5" fillId="3" borderId="1" xfId="0" applyFont="1" applyFill="1" applyBorder="1" applyAlignment="1">
      <alignment vertical="center"/>
    </xf>
    <xf numFmtId="0" fontId="3" fillId="4" borderId="7" xfId="0" applyFont="1" applyFill="1" applyBorder="1" applyAlignment="1">
      <alignment wrapText="1"/>
    </xf>
    <xf numFmtId="0" fontId="6" fillId="3" borderId="6" xfId="0" applyFont="1" applyFill="1" applyBorder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3" fillId="4" borderId="7" xfId="0" applyFont="1" applyFill="1" applyBorder="1" applyAlignment="1">
      <alignment vertical="top" wrapText="1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>
      <alignment horizontal="center" vertical="center"/>
    </xf>
    <xf numFmtId="0" fontId="0" fillId="2" borderId="8" xfId="0" applyFill="1" applyBorder="1"/>
    <xf numFmtId="0" fontId="0" fillId="2" borderId="0" xfId="0" applyFill="1"/>
    <xf numFmtId="0" fontId="0" fillId="2" borderId="9" xfId="0" applyFill="1" applyBorder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1" fillId="2" borderId="0" xfId="0" applyNumberFormat="1" applyFont="1" applyFill="1" applyAlignment="1" applyProtection="1">
      <alignment horizontal="right" vertical="center" wrapText="1"/>
      <protection locked="0"/>
    </xf>
    <xf numFmtId="0" fontId="5" fillId="0" borderId="0" xfId="0" applyFont="1" applyAlignment="1">
      <alignment vertical="center" wrapText="1"/>
    </xf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10" fillId="0" borderId="0" xfId="0" applyFon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2" borderId="1" xfId="0" applyFont="1" applyFill="1" applyBorder="1" applyAlignment="1" applyProtection="1">
      <alignment vertical="center" wrapText="1"/>
      <protection locked="0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DER FARID SANCHEZ GARZON" id="{8DB46502-B8FF-490B-9096-CCB4B94C2DA7}" userId="S::Wider.Sanchez@epm.com.co::6e5908d3-8d0e-4e09-bda5-476975ca8569" providerId="AD"/>
  <person displayName="CARLOS ALBERTO PENA PENA" id="{2067F5A0-AB8A-45A6-B29B-3C878743BBAB}" userId="S::carlos.alberto.pena@epm.com.co::814cb86f-840b-4b71-8779-5de52f9bb7a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10-04T21:26:40.03" personId="{8DB46502-B8FF-490B-9096-CCB4B94C2DA7}" id="{052A70D8-4F2D-4630-AB32-9D4B5C8F2D4F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" dT="2023-10-04T21:27:02.30" personId="{8DB46502-B8FF-490B-9096-CCB4B94C2DA7}" id="{7E1EC94A-7B9A-4F0C-BF00-35F510F94A14}">
    <text>Indique el número del mensaje. Generalmente, es un número consecutivo.</text>
  </threadedComment>
  <threadedComment ref="C1" dT="2023-10-04T21:27:44.17" personId="{8DB46502-B8FF-490B-9096-CCB4B94C2DA7}" id="{F5877CDD-A166-4649-9499-EF9DAE1B318C}">
    <text>Este campo se calcula automáticamente. Recomendamos no modificar la fórmula de cálculo.</text>
  </threadedComment>
  <threadedComment ref="D1" dT="2023-10-04T21:28:18.57" personId="{8DB46502-B8FF-490B-9096-CCB4B94C2DA7}" id="{D8721EF7-8F8A-4CF9-A81C-1B8F7F53FDCA}">
    <text>Este campo se calcula automáticamente. Recomendamos no modificar la fórmula de cálculo, dado que permite hallar el código del mensaje de forma estandarizada y única.</text>
  </threadedComment>
  <threadedComment ref="E1" dT="2023-10-04T21:28:34.03" personId="{8DB46502-B8FF-490B-9096-CCB4B94C2DA7}" id="{E02E652E-AF4C-42B3-955D-E8639ACBD8E0}">
    <text>Seleccione el tipo de mensaje, si es de usuario final o técnico.</text>
  </threadedComment>
  <threadedComment ref="F1" dT="2023-10-04T21:29:14.15" personId="{8DB46502-B8FF-490B-9096-CCB4B94C2DA7}" id="{D5AF4384-C6D2-4886-8A69-F71341973CCB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" dT="2023-10-04T21:32:31.72" personId="{8DB46502-B8FF-490B-9096-CCB4B94C2DA7}" id="{EF3CF2EC-D4DC-4EB7-8636-628951245828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" dT="2023-10-04T21:31:10.26" personId="{8DB46502-B8FF-490B-9096-CCB4B94C2DA7}" id="{D356A13E-9528-447C-8539-E9A9DE115234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" dT="2023-10-04T21:32:59.48" personId="{8DB46502-B8FF-490B-9096-CCB4B94C2DA7}" id="{D0B752D1-CFF5-4848-B47A-1571D8313A49}">
    <text>Corresponde a los parámetros que pueden ser colocados dentro del mensaje, sea en el título o en el contenido.</text>
  </threadedComment>
  <threadedComment ref="G50" dT="2021-08-05T23:03:05.31" personId="{2067F5A0-AB8A-45A6-B29B-3C878743BBAB}" id="{EC6F85FB-3E2D-4864-8B25-E958FEA99120}">
    <text>Creo que se podría construir como los mensajes 3,4,5,6. Ejm:
Se registró de forma exitosa ${0} ${1}(La Empresa, El Modelo, El Usuario) Donde ${0}: Corresponde al artículo "el" o "la", dependiendo de la entidad registrada
${1}: Corresponde al nombre de la entidad registrada El nombre mostrado no debe ser técnico, sino en lenguaje ubicuo</text>
  </threadedComment>
  <threadedComment ref="G62" dT="2021-08-05T23:03:36.73" personId="{2067F5A0-AB8A-45A6-B29B-3C878743BBAB}" id="{F058FF22-F1EC-475D-A210-7A4B49124328}">
    <text>Igual que el anterior</text>
  </threadedComment>
  <threadedComment ref="G64" dT="2021-08-05T23:03:36.73" personId="{2067F5A0-AB8A-45A6-B29B-3C878743BBAB}" id="{2B1970F3-C1B1-4941-AB4C-95B4B67B5004}">
    <text>Igual que el anterior</text>
  </threadedComment>
  <threadedComment ref="G67" dT="2021-08-05T23:03:36.73" personId="{2067F5A0-AB8A-45A6-B29B-3C878743BBAB}" id="{BF50751E-4B68-4D50-A446-73F6AFA7D73C}">
    <text>Igual que el anterior</text>
  </threadedComment>
  <threadedComment ref="G82" dT="2021-08-05T23:03:05.31" personId="{2067F5A0-AB8A-45A6-B29B-3C878743BBAB}" id="{9FC8880C-1391-4FFA-BE47-8484ADA589F0}">
    <text>Creo que se podría construir como los mensajes 3,4,5,6. Ejm:
Se registró de forma exitosa ${0} ${1}(La Empresa, El Modelo, El Usuario) Donde ${0}: Corresponde al artículo "el" o "la", dependiendo de la entidad registrada
${1}: Corresponde al nombre de la entidad registrada El nombre mostrado no debe ser técnico, sino en lenguaje ubicuo</text>
  </threadedComment>
  <threadedComment ref="G83" dT="2021-08-05T23:03:36.73" personId="{2067F5A0-AB8A-45A6-B29B-3C878743BBAB}" id="{0AAC2F6E-08C3-4701-87C6-6A8315F95297}">
    <text>Igual que el anterior</text>
  </threadedComment>
  <threadedComment ref="G85" dT="2021-08-05T23:03:36.73" personId="{2067F5A0-AB8A-45A6-B29B-3C878743BBAB}" id="{26A02E31-E11C-47BA-8C26-0F53CF6AB7FE}">
    <text>Igual que el anterior</text>
  </threadedComment>
  <threadedComment ref="G133" dT="2021-08-05T23:03:05.31" personId="{2067F5A0-AB8A-45A6-B29B-3C878743BBAB}" id="{25CC7F9B-549D-425E-AA84-5DDA1BBA3286}">
    <text>Creo que se podría construir como los mensajes 3,4,5,6. Ejm:
Se registró de forma exitosa ${0} ${1}(La Empresa, El Modelo, El Usuario) Donde ${0}: Corresponde al artículo "el" o "la", dependiendo de la entidad registrada
${1}: Corresponde al nombre de la entidad registrada El nombre mostrado no debe ser técnico, sino en lenguaje ubicuo</text>
  </threadedComment>
  <threadedComment ref="G265" dT="2021-08-05T23:03:05.31" personId="{2067F5A0-AB8A-45A6-B29B-3C878743BBAB}" id="{43DF36FF-0C1C-4C0D-947E-139D2AD73FE3}">
    <text>Creo que se podría construir como los mensajes 3,4,5,6. Ejm:
Se registró de forma exitosa ${0} ${1}(La Empresa, El Modelo, El Usuario) Donde ${0}: Corresponde al artículo "el" o "la", dependiendo de la entidad registrada
${1}: Corresponde al nombre de la entidad registrada El nombre mostrado no debe ser técnico, sino en lenguaje ubicuo</text>
  </threadedComment>
  <threadedComment ref="G266" dT="2021-08-05T23:03:36.73" personId="{2067F5A0-AB8A-45A6-B29B-3C878743BBAB}" id="{A2A41E56-91F5-4A45-A473-D4BEAB4EE5C7}">
    <text>Igual que el anterior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3-10-04T21:26:40.03" personId="{8DB46502-B8FF-490B-9096-CCB4B94C2DA7}" id="{70DA5B40-8556-459D-95F7-FC01BB29EA2E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" dT="2023-10-04T21:27:02.30" personId="{8DB46502-B8FF-490B-9096-CCB4B94C2DA7}" id="{B5539C2B-8738-4819-B33B-D512C79FD59D}">
    <text>Indique el número del mensaje. Generalmente, es un número consecutivo.</text>
  </threadedComment>
  <threadedComment ref="C1" dT="2023-10-04T21:27:44.17" personId="{8DB46502-B8FF-490B-9096-CCB4B94C2DA7}" id="{1104CCC0-1622-4461-88B7-86AE9F95687F}">
    <text>Este campo se calcula automáticamente. Recomendamos no modificar la fórmula de cálculo.</text>
  </threadedComment>
  <threadedComment ref="D1" dT="2023-10-04T21:28:18.57" personId="{8DB46502-B8FF-490B-9096-CCB4B94C2DA7}" id="{9AFAE8F5-A237-4B41-B657-FE814F24ED3A}">
    <text>Este campo se calcula automáticamente. Recomendamos no modificar la fórmula de cálculo, dado que permite hallar el código del mensaje de forma estandarizada y única.</text>
  </threadedComment>
  <threadedComment ref="E1" dT="2023-10-04T21:28:34.03" personId="{8DB46502-B8FF-490B-9096-CCB4B94C2DA7}" id="{A9F401AD-02FC-4250-A26E-643939DB5194}">
    <text>Seleccione el tipo de mensaje, si es de usuario final o técnico.</text>
  </threadedComment>
  <threadedComment ref="F1" dT="2023-10-04T21:29:14.15" personId="{8DB46502-B8FF-490B-9096-CCB4B94C2DA7}" id="{D027E011-4349-41D1-8A43-4C2774C4C195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" dT="2023-10-04T21:32:31.72" personId="{8DB46502-B8FF-490B-9096-CCB4B94C2DA7}" id="{DEC8F3F7-89A3-4FC1-B0E2-2B99FB00DE0B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" dT="2023-10-04T21:31:10.26" personId="{8DB46502-B8FF-490B-9096-CCB4B94C2DA7}" id="{6B76C029-0795-442A-B698-12FFCF899061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" dT="2023-10-04T21:32:59.48" personId="{8DB46502-B8FF-490B-9096-CCB4B94C2DA7}" id="{AFAA18BA-9FA5-4354-84D4-3C6026269559}">
    <text>Corresponde a los parámetros que pueden ser colocados dentro del mensaje, sea en el título o en el contenido.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3-10-04T21:26:40.03" personId="{8DB46502-B8FF-490B-9096-CCB4B94C2DA7}" id="{F2200A12-515B-40C4-96DF-C7858DD7E7B1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" dT="2023-10-04T21:27:02.30" personId="{8DB46502-B8FF-490B-9096-CCB4B94C2DA7}" id="{92CDCC27-D13E-4941-9748-F4338F53F827}">
    <text>Indique el número del mensaje. Generalmente, es un número consecutivo.</text>
  </threadedComment>
  <threadedComment ref="C1" dT="2023-10-04T21:27:44.17" personId="{8DB46502-B8FF-490B-9096-CCB4B94C2DA7}" id="{851C6530-7CC6-4FAF-9BF4-006D0648474D}">
    <text>Este campo se calcula automáticamente. Recomendamos no modificar la fórmula de cálculo.</text>
  </threadedComment>
  <threadedComment ref="D1" dT="2023-10-04T21:28:18.57" personId="{8DB46502-B8FF-490B-9096-CCB4B94C2DA7}" id="{45641CF3-D6AA-4F1C-A216-81E4568B7AA0}">
    <text>Este campo se calcula automáticamente. Recomendamos no modificar la fórmula de cálculo, dado que permite hallar el código del mensaje de forma estandarizada y única.</text>
  </threadedComment>
  <threadedComment ref="E1" dT="2023-10-04T21:28:34.03" personId="{8DB46502-B8FF-490B-9096-CCB4B94C2DA7}" id="{C0E9A6BF-5D7F-4082-8217-97B2C642F11C}">
    <text>Seleccione el tipo de mensaje, si es de usuario final o técnico.</text>
  </threadedComment>
  <threadedComment ref="F1" dT="2023-10-04T21:29:14.15" personId="{8DB46502-B8FF-490B-9096-CCB4B94C2DA7}" id="{BD845ED5-F7BE-4102-9809-7AF90B1A2788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" dT="2023-10-04T21:32:31.72" personId="{8DB46502-B8FF-490B-9096-CCB4B94C2DA7}" id="{68915EE2-9506-4110-AED8-D6F1DECDB1C7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" dT="2023-10-04T21:31:10.26" personId="{8DB46502-B8FF-490B-9096-CCB4B94C2DA7}" id="{1FFCFD87-FA9F-44B2-A55C-247DB235B99C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" dT="2023-10-04T21:32:59.48" personId="{8DB46502-B8FF-490B-9096-CCB4B94C2DA7}" id="{CB09CD73-8047-4ABE-9407-0310A30F6396}">
    <text>Corresponde a los parámetros que pueden ser colocados dentro del mensaje, sea en el título o en el contenido.</text>
  </threadedComment>
  <threadedComment ref="A11" dT="2023-10-04T21:26:40.03" personId="{8DB46502-B8FF-490B-9096-CCB4B94C2DA7}" id="{A4FDD923-8EDC-4007-A462-40861E6846F6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1" dT="2023-10-04T21:27:02.30" personId="{8DB46502-B8FF-490B-9096-CCB4B94C2DA7}" id="{42144C9F-160B-4494-B1D4-B2E3E814E3D0}">
    <text>Indique el número del mensaje. Generalmente, es un número consecutivo.</text>
  </threadedComment>
  <threadedComment ref="C11" dT="2023-10-04T21:27:44.17" personId="{8DB46502-B8FF-490B-9096-CCB4B94C2DA7}" id="{84A13ECC-15F1-499B-B4F8-94E394573BC4}">
    <text>Este campo se calcula automáticamente. Recomendamos no modificar la fórmula de cálculo.</text>
  </threadedComment>
  <threadedComment ref="D11" dT="2023-10-04T21:28:18.57" personId="{8DB46502-B8FF-490B-9096-CCB4B94C2DA7}" id="{6E2BE58B-1D3B-46D2-A767-0D0FB4A995AB}">
    <text>Este campo se calcula automáticamente. Recomendamos no modificar la fórmula de cálculo, dado que permite hallar el código del mensaje de forma estandarizada y única.</text>
  </threadedComment>
  <threadedComment ref="E11" dT="2023-10-04T21:28:34.03" personId="{8DB46502-B8FF-490B-9096-CCB4B94C2DA7}" id="{AC447DA3-5541-4DBA-962B-853F97CAAF73}">
    <text>Seleccione el tipo de mensaje, si es de usuario final o técnico.</text>
  </threadedComment>
  <threadedComment ref="F11" dT="2023-10-04T21:29:14.15" personId="{8DB46502-B8FF-490B-9096-CCB4B94C2DA7}" id="{18E7D956-AF98-403F-BEA4-2645DF2DAC46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1" dT="2023-10-04T21:32:31.72" personId="{8DB46502-B8FF-490B-9096-CCB4B94C2DA7}" id="{63882107-AFE8-4FAD-986D-565D7CF3BF1C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1" dT="2023-10-04T21:31:10.26" personId="{8DB46502-B8FF-490B-9096-CCB4B94C2DA7}" id="{C516ECD9-1503-4FB7-9C70-2587B69FDF97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1" dT="2023-10-04T21:32:59.48" personId="{8DB46502-B8FF-490B-9096-CCB4B94C2DA7}" id="{C0CD1252-09CE-4A5E-AA10-B9D080573944}">
    <text>Corresponde a los parámetros que pueden ser colocados dentro del mensaje, sea en el título o en el contenido.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3-10-04T21:26:40.03" personId="{8DB46502-B8FF-490B-9096-CCB4B94C2DA7}" id="{0F72B070-E4A4-48C2-A63A-9EBFF4A1C507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" dT="2023-10-04T21:27:02.30" personId="{8DB46502-B8FF-490B-9096-CCB4B94C2DA7}" id="{E1311C97-A6D3-4161-AC05-9D73A4210537}">
    <text>Indique el número del mensaje. Generalmente, es un número consecutivo.</text>
  </threadedComment>
  <threadedComment ref="C1" dT="2023-10-04T21:27:44.17" personId="{8DB46502-B8FF-490B-9096-CCB4B94C2DA7}" id="{1429B10F-44FA-4967-B85F-8B54CA418799}">
    <text>Este campo se calcula automáticamente. Recomendamos no modificar la fórmula de cálculo.</text>
  </threadedComment>
  <threadedComment ref="D1" dT="2023-10-04T21:28:18.57" personId="{8DB46502-B8FF-490B-9096-CCB4B94C2DA7}" id="{BAF41CF2-79DD-45C9-A1C4-1C182397D655}">
    <text>Este campo se calcula automáticamente. Recomendamos no modificar la fórmula de cálculo, dado que permite hallar el código del mensaje de forma estandarizada y única.</text>
  </threadedComment>
  <threadedComment ref="E1" dT="2023-10-04T21:28:34.03" personId="{8DB46502-B8FF-490B-9096-CCB4B94C2DA7}" id="{B3E52752-7659-414D-8286-982718472498}">
    <text>Seleccione el tipo de mensaje, si es de usuario final o técnico.</text>
  </threadedComment>
  <threadedComment ref="F1" dT="2023-10-04T21:29:14.15" personId="{8DB46502-B8FF-490B-9096-CCB4B94C2DA7}" id="{EB9A6ABD-2B11-41FA-9F92-96836BF1F2F7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" dT="2023-10-04T21:32:31.72" personId="{8DB46502-B8FF-490B-9096-CCB4B94C2DA7}" id="{5F1AC7D3-0EB7-4494-9DC5-80D475B54373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" dT="2023-10-04T21:31:10.26" personId="{8DB46502-B8FF-490B-9096-CCB4B94C2DA7}" id="{127FEFBB-2ED5-4FCF-ACFD-FBF1014C0D4B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" dT="2023-10-04T21:32:59.48" personId="{8DB46502-B8FF-490B-9096-CCB4B94C2DA7}" id="{5CC55511-B274-42A1-AE65-DD23FA82BF51}">
    <text>Corresponde a los parámetros que pueden ser colocados dentro del mensaje, sea en el título o en el contenido.</text>
  </threadedComment>
  <threadedComment ref="A10" dT="2023-10-04T21:26:40.03" personId="{8DB46502-B8FF-490B-9096-CCB4B94C2DA7}" id="{E52C12D3-1E6D-472B-93A8-D843800499E9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0" dT="2023-10-04T21:27:02.30" personId="{8DB46502-B8FF-490B-9096-CCB4B94C2DA7}" id="{F0C477FA-E111-404C-A8E6-F33591BC33EE}">
    <text>Indique el número del mensaje. Generalmente, es un número consecutivo.</text>
  </threadedComment>
  <threadedComment ref="C10" dT="2023-10-04T21:27:44.17" personId="{8DB46502-B8FF-490B-9096-CCB4B94C2DA7}" id="{485F9761-A5AC-4AF4-8D32-BD881C2EC5A4}">
    <text>Este campo se calcula automáticamente. Recomendamos no modificar la fórmula de cálculo.</text>
  </threadedComment>
  <threadedComment ref="D10" dT="2023-10-04T21:28:18.57" personId="{8DB46502-B8FF-490B-9096-CCB4B94C2DA7}" id="{814F2E43-05FF-407D-9CA4-464B147922D1}">
    <text>Este campo se calcula automáticamente. Recomendamos no modificar la fórmula de cálculo, dado que permite hallar el código del mensaje de forma estandarizada y única.</text>
  </threadedComment>
  <threadedComment ref="E10" dT="2023-10-04T21:28:34.03" personId="{8DB46502-B8FF-490B-9096-CCB4B94C2DA7}" id="{365B0961-9988-4E00-8098-397F9F3F6B89}">
    <text>Seleccione el tipo de mensaje, si es de usuario final o técnico.</text>
  </threadedComment>
  <threadedComment ref="F10" dT="2023-10-04T21:29:14.15" personId="{8DB46502-B8FF-490B-9096-CCB4B94C2DA7}" id="{D3DB93DE-1E44-45FE-9AC2-51459FF65AC8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0" dT="2023-10-04T21:32:31.72" personId="{8DB46502-B8FF-490B-9096-CCB4B94C2DA7}" id="{085BAEBE-8E0C-437E-BF2E-2B62D94C95F2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0" dT="2023-10-04T21:31:10.26" personId="{8DB46502-B8FF-490B-9096-CCB4B94C2DA7}" id="{84766A1D-2C7D-4A3A-A531-59E100ACD810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0" dT="2023-10-04T21:32:59.48" personId="{8DB46502-B8FF-490B-9096-CCB4B94C2DA7}" id="{828717A4-6D94-4FE7-9A77-F2D721811BDC}">
    <text>Corresponde a los parámetros que pueden ser colocados dentro del mensaje, sea en el título o en el contenido.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" dT="2023-10-04T21:26:40.03" personId="{8DB46502-B8FF-490B-9096-CCB4B94C2DA7}" id="{E7F2B57D-52FD-47C0-86EE-3773202B67CF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" dT="2023-10-04T21:27:02.30" personId="{8DB46502-B8FF-490B-9096-CCB4B94C2DA7}" id="{372FD4AA-D875-4F0D-811B-F0ACCE0D1EC5}">
    <text>Indique el número del mensaje. Generalmente, es un número consecutivo.</text>
  </threadedComment>
  <threadedComment ref="D1" dT="2023-10-04T21:27:44.17" personId="{8DB46502-B8FF-490B-9096-CCB4B94C2DA7}" id="{6EDAC5DB-BDEE-45B9-8741-3DBC21691057}">
    <text>Este campo se calcula automáticamente. Recomendamos no modificar la fórmula de cálculo.</text>
  </threadedComment>
  <threadedComment ref="E1" dT="2023-10-04T21:28:18.57" personId="{8DB46502-B8FF-490B-9096-CCB4B94C2DA7}" id="{E9F78B9B-DDD1-4001-8AB8-F113CED95CB7}">
    <text>Este campo se calcula automáticamente. Recomendamos no modificar la fórmula de cálculo, dado que permite hallar el código del mensaje de forma estandarizada y única.</text>
  </threadedComment>
  <threadedComment ref="F1" dT="2023-10-04T21:28:34.03" personId="{8DB46502-B8FF-490B-9096-CCB4B94C2DA7}" id="{FC850E0E-C79B-42F8-96BB-0994F668A47F}">
    <text>Seleccione el tipo de mensaje, si es de usuario final o técnico.</text>
  </threadedComment>
  <threadedComment ref="G1" dT="2023-10-04T21:29:14.15" personId="{8DB46502-B8FF-490B-9096-CCB4B94C2DA7}" id="{93F11D36-086A-4CC5-BD2B-7791C301E9F3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H1" dT="2023-10-04T21:32:31.72" personId="{8DB46502-B8FF-490B-9096-CCB4B94C2DA7}" id="{9AEBCC82-B84A-4CD2-A010-86F8C419CCCC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I1" dT="2023-10-04T21:31:10.26" personId="{8DB46502-B8FF-490B-9096-CCB4B94C2DA7}" id="{9F6D343C-5FCF-431D-B6CE-4ACF1CCA8D18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J1" dT="2023-10-04T21:32:59.48" personId="{8DB46502-B8FF-490B-9096-CCB4B94C2DA7}" id="{EAEC4BA0-713F-4282-A990-F3F581352C6C}">
    <text>Corresponde a los parámetros que pueden ser colocados dentro del mensaje, sea en el título o en el contenido.</text>
  </threadedComment>
  <threadedComment ref="A9" dT="2023-10-04T21:26:40.03" personId="{8DB46502-B8FF-490B-9096-CCB4B94C2DA7}" id="{0CB6C402-A8A1-4E81-B454-1B4F22266974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9" dT="2023-10-04T21:27:02.30" personId="{8DB46502-B8FF-490B-9096-CCB4B94C2DA7}" id="{CEB6EE7B-DD6F-4527-9169-71A9C110E848}">
    <text>Indique el número del mensaje. Generalmente, es un número consecutivo.</text>
  </threadedComment>
  <threadedComment ref="D9" dT="2023-10-04T21:27:44.17" personId="{8DB46502-B8FF-490B-9096-CCB4B94C2DA7}" id="{39C6A14A-CD1E-40E1-A93F-EDA681A28328}">
    <text>Este campo se calcula automáticamente. Recomendamos no modificar la fórmula de cálculo.</text>
  </threadedComment>
  <threadedComment ref="E9" dT="2023-10-04T21:28:18.57" personId="{8DB46502-B8FF-490B-9096-CCB4B94C2DA7}" id="{3A7EA898-2E0B-4F7A-839D-0DC885164981}">
    <text>Este campo se calcula automáticamente. Recomendamos no modificar la fórmula de cálculo, dado que permite hallar el código del mensaje de forma estandarizada y única.</text>
  </threadedComment>
  <threadedComment ref="F9" dT="2023-10-04T21:28:34.03" personId="{8DB46502-B8FF-490B-9096-CCB4B94C2DA7}" id="{C618AEF8-77A0-4F63-B9D9-2607A8BC13A8}">
    <text>Seleccione el tipo de mensaje, si es de usuario final o técnico.</text>
  </threadedComment>
  <threadedComment ref="G9" dT="2023-10-04T21:29:14.15" personId="{8DB46502-B8FF-490B-9096-CCB4B94C2DA7}" id="{5C5E5890-0323-4914-805A-1C4D77B1D444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H9" dT="2023-10-04T21:32:31.72" personId="{8DB46502-B8FF-490B-9096-CCB4B94C2DA7}" id="{E320BD68-CA19-46B2-8B53-F26E7B43093A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I9" dT="2023-10-04T21:31:10.26" personId="{8DB46502-B8FF-490B-9096-CCB4B94C2DA7}" id="{CCF36744-3C76-4E24-B758-B062D85A968C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J9" dT="2023-10-04T21:32:59.48" personId="{8DB46502-B8FF-490B-9096-CCB4B94C2DA7}" id="{45F44A61-AC75-4923-9192-E300B732C86E}">
    <text>Corresponde a los parámetros que pueden ser colocados dentro del mensaje, sea en el título o en el contenido.</text>
  </threadedComment>
  <threadedComment ref="A16" dT="2023-10-04T21:26:40.03" personId="{8DB46502-B8FF-490B-9096-CCB4B94C2DA7}" id="{4EE408FF-FA8F-4276-B040-5E4EA68B226B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6" dT="2023-10-04T21:27:02.30" personId="{8DB46502-B8FF-490B-9096-CCB4B94C2DA7}" id="{3029677E-C9A8-4CE4-B1C4-C8F950CD05BA}">
    <text>Indique el número del mensaje. Generalmente, es un número consecutivo.</text>
  </threadedComment>
  <threadedComment ref="D16" dT="2023-10-04T21:27:44.17" personId="{8DB46502-B8FF-490B-9096-CCB4B94C2DA7}" id="{8B2A6A2B-17F2-41D3-9832-D5A8D134CAFB}">
    <text>Este campo se calcula automáticamente. Recomendamos no modificar la fórmula de cálculo.</text>
  </threadedComment>
  <threadedComment ref="E16" dT="2023-10-04T21:28:18.57" personId="{8DB46502-B8FF-490B-9096-CCB4B94C2DA7}" id="{A426449F-CF19-4048-BF7A-0E0F1F04C0FD}">
    <text>Este campo se calcula automáticamente. Recomendamos no modificar la fórmula de cálculo, dado que permite hallar el código del mensaje de forma estandarizada y única.</text>
  </threadedComment>
  <threadedComment ref="F16" dT="2023-10-04T21:28:34.03" personId="{8DB46502-B8FF-490B-9096-CCB4B94C2DA7}" id="{9F9DE788-05D9-4606-BAA0-E6480A8380FF}">
    <text>Seleccione el tipo de mensaje, si es de usuario final o técnico.</text>
  </threadedComment>
  <threadedComment ref="G16" dT="2023-10-04T21:29:14.15" personId="{8DB46502-B8FF-490B-9096-CCB4B94C2DA7}" id="{64C0BB3E-A2DD-4C8C-8C0B-64EC06B682B7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H16" dT="2023-10-04T21:32:31.72" personId="{8DB46502-B8FF-490B-9096-CCB4B94C2DA7}" id="{2311FBF4-8AE1-4B6C-8379-5DE13474BD8C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I16" dT="2023-10-04T21:31:10.26" personId="{8DB46502-B8FF-490B-9096-CCB4B94C2DA7}" id="{A2379FB8-39F9-4ADB-80F0-C995973778CF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J16" dT="2023-10-04T21:32:59.48" personId="{8DB46502-B8FF-490B-9096-CCB4B94C2DA7}" id="{36283570-1756-4E44-8DD3-DC1201403738}">
    <text>Corresponde a los parámetros que pueden ser colocados dentro del mensaje, sea en el título o en el contenido.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" dT="2023-10-04T21:26:40.03" personId="{8DB46502-B8FF-490B-9096-CCB4B94C2DA7}" id="{BCA0B3B8-3E44-4AAA-9B6A-1395C507756B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" dT="2023-10-04T21:27:02.30" personId="{8DB46502-B8FF-490B-9096-CCB4B94C2DA7}" id="{438E968E-215A-41C8-A413-2A85417DD4BC}">
    <text>Indique el número del mensaje. Generalmente, es un número consecutivo.</text>
  </threadedComment>
  <threadedComment ref="C1" dT="2023-10-04T21:27:44.17" personId="{8DB46502-B8FF-490B-9096-CCB4B94C2DA7}" id="{AA476B56-EBD8-41B1-86FB-7FC56DADDEF4}">
    <text>Este campo se calcula automáticamente. Recomendamos no modificar la fórmula de cálculo.</text>
  </threadedComment>
  <threadedComment ref="D1" dT="2023-10-04T21:28:18.57" personId="{8DB46502-B8FF-490B-9096-CCB4B94C2DA7}" id="{126E0035-ED94-421F-A5EB-3FF6593D41FB}">
    <text>Este campo se calcula automáticamente. Recomendamos no modificar la fórmula de cálculo, dado que permite hallar el código del mensaje de forma estandarizada y única.</text>
  </threadedComment>
  <threadedComment ref="E1" dT="2023-10-04T21:28:34.03" personId="{8DB46502-B8FF-490B-9096-CCB4B94C2DA7}" id="{F752D909-9636-40D3-8C0C-710A7A9A6629}">
    <text>Seleccione el tipo de mensaje, si es de usuario final o técnico.</text>
  </threadedComment>
  <threadedComment ref="F1" dT="2023-10-04T21:29:14.15" personId="{8DB46502-B8FF-490B-9096-CCB4B94C2DA7}" id="{9F6385B1-4708-424C-B3D4-AC8AA674F930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" dT="2023-10-04T21:32:31.72" personId="{8DB46502-B8FF-490B-9096-CCB4B94C2DA7}" id="{2595A29B-320E-482F-BDE0-0100B3120750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" dT="2023-10-04T21:31:10.26" personId="{8DB46502-B8FF-490B-9096-CCB4B94C2DA7}" id="{E73B00EC-7F91-47B5-A8F7-3268419933F0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" dT="2023-10-04T21:32:59.48" personId="{8DB46502-B8FF-490B-9096-CCB4B94C2DA7}" id="{CF0DD12E-72EE-4923-A7C7-4D3395AD19C1}">
    <text>Corresponde a los parámetros que pueden ser colocados dentro del mensaje, sea en el título o en el contenido.</text>
  </threadedComment>
  <threadedComment ref="A13" dT="2023-10-04T21:26:40.03" personId="{8DB46502-B8FF-490B-9096-CCB4B94C2DA7}" id="{2E47C843-3B66-47E9-8097-87AC6A42F8E5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3" dT="2023-10-04T21:27:02.30" personId="{8DB46502-B8FF-490B-9096-CCB4B94C2DA7}" id="{0F4BC189-D1D1-4836-B307-A9EA26DE0135}">
    <text>Indique el número del mensaje. Generalmente, es un número consecutivo.</text>
  </threadedComment>
  <threadedComment ref="C13" dT="2023-10-04T21:27:44.17" personId="{8DB46502-B8FF-490B-9096-CCB4B94C2DA7}" id="{0AA3396F-BE16-4ADF-9674-E773F62C7E1B}">
    <text>Este campo se calcula automáticamente. Recomendamos no modificar la fórmula de cálculo.</text>
  </threadedComment>
  <threadedComment ref="D13" dT="2023-10-04T21:28:18.57" personId="{8DB46502-B8FF-490B-9096-CCB4B94C2DA7}" id="{6857AEEB-14C2-487E-92C2-E17560FC0B56}">
    <text>Este campo se calcula automáticamente. Recomendamos no modificar la fórmula de cálculo, dado que permite hallar el código del mensaje de forma estandarizada y única.</text>
  </threadedComment>
  <threadedComment ref="E13" dT="2023-10-04T21:28:34.03" personId="{8DB46502-B8FF-490B-9096-CCB4B94C2DA7}" id="{8158A239-28C4-4D2A-BCDE-9B4510D6C12E}">
    <text>Seleccione el tipo de mensaje, si es de usuario final o técnico.</text>
  </threadedComment>
  <threadedComment ref="F13" dT="2023-10-04T21:29:14.15" personId="{8DB46502-B8FF-490B-9096-CCB4B94C2DA7}" id="{6ADC6706-EC6F-4AEC-8C02-04E1ADF89BB4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3" dT="2023-10-04T21:32:31.72" personId="{8DB46502-B8FF-490B-9096-CCB4B94C2DA7}" id="{38BAFA79-CAB8-46BC-816B-4805C68768AF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3" dT="2023-10-04T21:31:10.26" personId="{8DB46502-B8FF-490B-9096-CCB4B94C2DA7}" id="{1B30E58B-FECC-4AAF-B8D0-74804EB26741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3" dT="2023-10-04T21:32:59.48" personId="{8DB46502-B8FF-490B-9096-CCB4B94C2DA7}" id="{9CA875A2-831B-45D7-A007-84D949A1889C}">
    <text>Corresponde a los parámetros que pueden ser colocados dentro del mensaje, sea en el título o en el contenido.</text>
  </threadedComment>
  <threadedComment ref="A19" dT="2023-10-04T21:26:40.03" personId="{8DB46502-B8FF-490B-9096-CCB4B94C2DA7}" id="{642F5E48-FF17-4C95-B3A2-93F01C2A9B55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9" dT="2023-10-04T21:27:02.30" personId="{8DB46502-B8FF-490B-9096-CCB4B94C2DA7}" id="{E56DE902-6C69-4E42-8005-CB84EB36A410}">
    <text>Indique el número del mensaje. Generalmente, es un número consecutivo.</text>
  </threadedComment>
  <threadedComment ref="C19" dT="2023-10-04T21:27:44.17" personId="{8DB46502-B8FF-490B-9096-CCB4B94C2DA7}" id="{393D97F6-654A-4EC0-8C2A-807FD1A01341}">
    <text>Este campo se calcula automáticamente. Recomendamos no modificar la fórmula de cálculo.</text>
  </threadedComment>
  <threadedComment ref="D19" dT="2023-10-04T21:28:18.57" personId="{8DB46502-B8FF-490B-9096-CCB4B94C2DA7}" id="{F353F4CA-283D-4EB9-8756-CFB9AD564238}">
    <text>Este campo se calcula automáticamente. Recomendamos no modificar la fórmula de cálculo, dado que permite hallar el código del mensaje de forma estandarizada y única.</text>
  </threadedComment>
  <threadedComment ref="E19" dT="2023-10-04T21:28:34.03" personId="{8DB46502-B8FF-490B-9096-CCB4B94C2DA7}" id="{8B536A11-F29D-4904-A248-1C49FD73942E}">
    <text>Seleccione el tipo de mensaje, si es de usuario final o técnico.</text>
  </threadedComment>
  <threadedComment ref="F19" dT="2023-10-04T21:29:14.15" personId="{8DB46502-B8FF-490B-9096-CCB4B94C2DA7}" id="{02B45E0C-0E6E-4222-8EED-4590C0807C49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9" dT="2023-10-04T21:32:31.72" personId="{8DB46502-B8FF-490B-9096-CCB4B94C2DA7}" id="{3B09C944-0CE6-4486-8448-A0D2BDA3901E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9" dT="2023-10-04T21:31:10.26" personId="{8DB46502-B8FF-490B-9096-CCB4B94C2DA7}" id="{CF663541-7347-49F6-A301-FE5E4105316A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9" dT="2023-10-04T21:32:59.48" personId="{8DB46502-B8FF-490B-9096-CCB4B94C2DA7}" id="{099A6A2D-7F2A-4804-8855-6AA98F01FA7B}">
    <text>Corresponde a los parámetros que pueden ser colocados dentro del mensaje, sea en el título o en el contenido.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1" dT="2023-10-04T21:26:40.03" personId="{8DB46502-B8FF-490B-9096-CCB4B94C2DA7}" id="{06E59F6A-6F00-447C-B7C7-41F7124E3E92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" dT="2023-10-04T21:27:02.30" personId="{8DB46502-B8FF-490B-9096-CCB4B94C2DA7}" id="{DA239A65-8301-4DBC-9327-E4DAEEE5751A}">
    <text>Indique el número del mensaje. Generalmente, es un número consecutivo.</text>
  </threadedComment>
  <threadedComment ref="C1" dT="2023-10-04T21:27:44.17" personId="{8DB46502-B8FF-490B-9096-CCB4B94C2DA7}" id="{27545740-5A84-4D84-9CFB-974FA3F29DBF}">
    <text>Este campo se calcula automáticamente. Recomendamos no modificar la fórmula de cálculo.</text>
  </threadedComment>
  <threadedComment ref="D1" dT="2023-10-04T21:28:18.57" personId="{8DB46502-B8FF-490B-9096-CCB4B94C2DA7}" id="{D0BDF33D-81EA-426B-AADC-649E266069E3}">
    <text>Este campo se calcula automáticamente. Recomendamos no modificar la fórmula de cálculo, dado que permite hallar el código del mensaje de forma estandarizada y única.</text>
  </threadedComment>
  <threadedComment ref="E1" dT="2023-10-04T21:28:34.03" personId="{8DB46502-B8FF-490B-9096-CCB4B94C2DA7}" id="{B0DDA815-A269-4AD5-8BCF-1924B5CF95D0}">
    <text>Seleccione el tipo de mensaje, si es de usuario final o técnico.</text>
  </threadedComment>
  <threadedComment ref="F1" dT="2023-10-04T21:29:14.15" personId="{8DB46502-B8FF-490B-9096-CCB4B94C2DA7}" id="{C83D0F41-B359-4DC2-A5D5-585F686057C4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" dT="2023-10-04T21:32:31.72" personId="{8DB46502-B8FF-490B-9096-CCB4B94C2DA7}" id="{701F987C-0177-4F41-8396-374B3EBEA484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" dT="2023-10-04T21:31:10.26" personId="{8DB46502-B8FF-490B-9096-CCB4B94C2DA7}" id="{EFD670FF-DC16-4AB4-A5E3-BDCE90A4ED6A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" dT="2023-10-04T21:32:59.48" personId="{8DB46502-B8FF-490B-9096-CCB4B94C2DA7}" id="{89E60813-054B-4B56-92EB-177A1352BA19}">
    <text>Corresponde a los parámetros que pueden ser colocados dentro del mensaje, sea en el título o en el contenido.</text>
  </threadedComment>
  <threadedComment ref="A9" dT="2023-10-04T21:26:40.03" personId="{8DB46502-B8FF-490B-9096-CCB4B94C2DA7}" id="{8D8B3509-9F7A-4B21-970D-3FE790BBF684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9" dT="2023-10-04T21:27:02.30" personId="{8DB46502-B8FF-490B-9096-CCB4B94C2DA7}" id="{3F8BE391-F67A-47CA-8740-721243C6E0A7}">
    <text>Indique el número del mensaje. Generalmente, es un número consecutivo.</text>
  </threadedComment>
  <threadedComment ref="C9" dT="2023-10-04T21:27:44.17" personId="{8DB46502-B8FF-490B-9096-CCB4B94C2DA7}" id="{2BB3BC43-72BF-4B4E-9A36-94E1E8006F94}">
    <text>Este campo se calcula automáticamente. Recomendamos no modificar la fórmula de cálculo.</text>
  </threadedComment>
  <threadedComment ref="D9" dT="2023-10-04T21:28:18.57" personId="{8DB46502-B8FF-490B-9096-CCB4B94C2DA7}" id="{F0046FEE-C759-42FF-8EA9-BE42342BF425}">
    <text>Este campo se calcula automáticamente. Recomendamos no modificar la fórmula de cálculo, dado que permite hallar el código del mensaje de forma estandarizada y única.</text>
  </threadedComment>
  <threadedComment ref="E9" dT="2023-10-04T21:28:34.03" personId="{8DB46502-B8FF-490B-9096-CCB4B94C2DA7}" id="{190F68BC-4070-4D29-A326-80BE17AB6CD5}">
    <text>Seleccione el tipo de mensaje, si es de usuario final o técnico.</text>
  </threadedComment>
  <threadedComment ref="F9" dT="2023-10-04T21:29:14.15" personId="{8DB46502-B8FF-490B-9096-CCB4B94C2DA7}" id="{DC2065BF-5D71-483C-B107-FC87246ACBAA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9" dT="2023-10-04T21:32:31.72" personId="{8DB46502-B8FF-490B-9096-CCB4B94C2DA7}" id="{A8C3A940-02AC-464F-8BE0-DA6F4EB8C7DF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9" dT="2023-10-04T21:31:10.26" personId="{8DB46502-B8FF-490B-9096-CCB4B94C2DA7}" id="{17081173-AEB0-4EF6-BD8C-A54F8C498D2D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9" dT="2023-10-04T21:32:59.48" personId="{8DB46502-B8FF-490B-9096-CCB4B94C2DA7}" id="{A41B9891-0376-4E6F-8D16-F790510C4DDA}">
    <text>Corresponde a los parámetros que pueden ser colocados dentro del mensaje, sea en el título o en el contenido.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1" dT="2023-10-04T21:26:40.03" personId="{8DB46502-B8FF-490B-9096-CCB4B94C2DA7}" id="{668B3063-5273-49D8-9B02-01B990C9E19A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" dT="2023-10-04T21:27:02.30" personId="{8DB46502-B8FF-490B-9096-CCB4B94C2DA7}" id="{40CC2325-EA5B-45F8-8C3B-C5934624B08B}">
    <text>Indique el número del mensaje. Generalmente, es un número consecutivo.</text>
  </threadedComment>
  <threadedComment ref="C1" dT="2023-10-04T21:27:44.17" personId="{8DB46502-B8FF-490B-9096-CCB4B94C2DA7}" id="{F113B605-6D63-4CEF-A493-CC79331D542F}">
    <text>Este campo se calcula automáticamente. Recomendamos no modificar la fórmula de cálculo.</text>
  </threadedComment>
  <threadedComment ref="D1" dT="2023-10-04T21:28:18.57" personId="{8DB46502-B8FF-490B-9096-CCB4B94C2DA7}" id="{BECC06FA-07C4-42E1-9D2A-72A405483B4A}">
    <text>Este campo se calcula automáticamente. Recomendamos no modificar la fórmula de cálculo, dado que permite hallar el código del mensaje de forma estandarizada y única.</text>
  </threadedComment>
  <threadedComment ref="E1" dT="2023-10-04T21:28:34.03" personId="{8DB46502-B8FF-490B-9096-CCB4B94C2DA7}" id="{F2DC64D7-0570-4BBA-A56E-BD66812F5840}">
    <text>Seleccione el tipo de mensaje, si es de usuario final o técnico.</text>
  </threadedComment>
  <threadedComment ref="F1" dT="2023-10-04T21:29:14.15" personId="{8DB46502-B8FF-490B-9096-CCB4B94C2DA7}" id="{E1AA9C16-601B-4576-8ECE-BB76225C5012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" dT="2023-10-04T21:32:31.72" personId="{8DB46502-B8FF-490B-9096-CCB4B94C2DA7}" id="{A9C2D754-8F22-4485-8804-2B14F6E3AABA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" dT="2023-10-04T21:31:10.26" personId="{8DB46502-B8FF-490B-9096-CCB4B94C2DA7}" id="{A43C9728-24D3-4B2A-9960-6CE29A9BE56E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" dT="2023-10-04T21:32:59.48" personId="{8DB46502-B8FF-490B-9096-CCB4B94C2DA7}" id="{4B172467-EB30-469D-BA01-2429FB6E7749}">
    <text>Corresponde a los parámetros que pueden ser colocados dentro del mensaje, sea en el título o en el contenido.</text>
  </threadedComment>
  <threadedComment ref="A8" dT="2023-10-04T21:26:40.03" personId="{8DB46502-B8FF-490B-9096-CCB4B94C2DA7}" id="{A0758AF0-356B-4DAC-95A8-0F72AEE3CDDD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8" dT="2023-10-04T21:27:02.30" personId="{8DB46502-B8FF-490B-9096-CCB4B94C2DA7}" id="{BD98F41E-CE96-4DC6-AB90-1CD9910ACEE9}">
    <text>Indique el número del mensaje. Generalmente, es un número consecutivo.</text>
  </threadedComment>
  <threadedComment ref="C8" dT="2023-10-04T21:27:44.17" personId="{8DB46502-B8FF-490B-9096-CCB4B94C2DA7}" id="{DF011610-9309-4CFA-AF5F-0C9CC0FC8364}">
    <text>Este campo se calcula automáticamente. Recomendamos no modificar la fórmula de cálculo.</text>
  </threadedComment>
  <threadedComment ref="D8" dT="2023-10-04T21:28:18.57" personId="{8DB46502-B8FF-490B-9096-CCB4B94C2DA7}" id="{C4D3FAB8-54F6-4FB8-A777-1694225DB103}">
    <text>Este campo se calcula automáticamente. Recomendamos no modificar la fórmula de cálculo, dado que permite hallar el código del mensaje de forma estandarizada y única.</text>
  </threadedComment>
  <threadedComment ref="E8" dT="2023-10-04T21:28:34.03" personId="{8DB46502-B8FF-490B-9096-CCB4B94C2DA7}" id="{2E7BD899-7EF7-40AE-8F15-32AAB1207CA2}">
    <text>Seleccione el tipo de mensaje, si es de usuario final o técnico.</text>
  </threadedComment>
  <threadedComment ref="F8" dT="2023-10-04T21:29:14.15" personId="{8DB46502-B8FF-490B-9096-CCB4B94C2DA7}" id="{E991BF39-1025-4ACF-86A3-5712C807D242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8" dT="2023-10-04T21:32:31.72" personId="{8DB46502-B8FF-490B-9096-CCB4B94C2DA7}" id="{89A0CCEE-C7D1-40CF-8D84-4694FB229E0D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8" dT="2023-10-04T21:31:10.26" personId="{8DB46502-B8FF-490B-9096-CCB4B94C2DA7}" id="{80142CC9-8CFC-4B80-9271-ACC83A92F3FE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8" dT="2023-10-04T21:32:59.48" personId="{8DB46502-B8FF-490B-9096-CCB4B94C2DA7}" id="{47C49C8A-69B9-42D4-901C-28EA82F98F46}">
    <text>Corresponde a los parámetros que pueden ser colocados dentro del mensaje, sea en el título o en el contenido.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1" dT="2023-10-04T21:26:40.03" personId="{8DB46502-B8FF-490B-9096-CCB4B94C2DA7}" id="{FE622BEB-EF33-4EDF-BCAE-6BC10B863B6E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" dT="2023-10-04T21:27:02.30" personId="{8DB46502-B8FF-490B-9096-CCB4B94C2DA7}" id="{EC627AD9-F3C5-4F66-BA4C-27DC54DC7864}">
    <text>Indique el número del mensaje. Generalmente, es un número consecutivo.</text>
  </threadedComment>
  <threadedComment ref="C1" dT="2023-10-04T21:27:44.17" personId="{8DB46502-B8FF-490B-9096-CCB4B94C2DA7}" id="{B9929E45-F662-4E63-B4D5-D1ACC91DCE1B}">
    <text>Este campo se calcula automáticamente. Recomendamos no modificar la fórmula de cálculo.</text>
  </threadedComment>
  <threadedComment ref="D1" dT="2023-10-04T21:28:18.57" personId="{8DB46502-B8FF-490B-9096-CCB4B94C2DA7}" id="{81ECB92D-B311-451D-81D5-40A2E26B4901}">
    <text>Este campo se calcula automáticamente. Recomendamos no modificar la fórmula de cálculo, dado que permite hallar el código del mensaje de forma estandarizada y única.</text>
  </threadedComment>
  <threadedComment ref="E1" dT="2023-10-04T21:28:34.03" personId="{8DB46502-B8FF-490B-9096-CCB4B94C2DA7}" id="{BF9423E3-6150-4FA2-B974-FBA1536AFE81}">
    <text>Seleccione el tipo de mensaje, si es de usuario final o técnico.</text>
  </threadedComment>
  <threadedComment ref="F1" dT="2023-10-04T21:29:14.15" personId="{8DB46502-B8FF-490B-9096-CCB4B94C2DA7}" id="{26267D97-4390-48A8-AC7A-B64A2DECAE10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" dT="2023-10-04T21:32:31.72" personId="{8DB46502-B8FF-490B-9096-CCB4B94C2DA7}" id="{72A27069-C39D-477D-9AC3-D71E8DD7920E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" dT="2023-10-04T21:31:10.26" personId="{8DB46502-B8FF-490B-9096-CCB4B94C2DA7}" id="{285B7BDC-B138-4CA7-A69A-2D95C90BDB34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" dT="2023-10-04T21:32:59.48" personId="{8DB46502-B8FF-490B-9096-CCB4B94C2DA7}" id="{72C09E67-F9D0-4C74-AEE5-21D168F65230}">
    <text>Corresponde a los parámetros que pueden ser colocados dentro del mensaje, sea en el título o en el contenido.</text>
  </threadedComment>
  <threadedComment ref="A12" dT="2023-10-04T21:26:40.03" personId="{8DB46502-B8FF-490B-9096-CCB4B94C2DA7}" id="{D940FD67-3B8C-4911-8AC0-ED2CE6C3A173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2" dT="2023-10-04T21:27:02.30" personId="{8DB46502-B8FF-490B-9096-CCB4B94C2DA7}" id="{3D890F50-1AF4-45BC-9969-F09AB50D114D}">
    <text>Indique el número del mensaje. Generalmente, es un número consecutivo.</text>
  </threadedComment>
  <threadedComment ref="C12" dT="2023-10-04T21:27:44.17" personId="{8DB46502-B8FF-490B-9096-CCB4B94C2DA7}" id="{F883602F-0476-4B8B-9866-CBDAC7222166}">
    <text>Este campo se calcula automáticamente. Recomendamos no modificar la fórmula de cálculo.</text>
  </threadedComment>
  <threadedComment ref="D12" dT="2023-10-04T21:28:18.57" personId="{8DB46502-B8FF-490B-9096-CCB4B94C2DA7}" id="{6E012099-7AFD-4D10-8446-BADBC63F3126}">
    <text>Este campo se calcula automáticamente. Recomendamos no modificar la fórmula de cálculo, dado que permite hallar el código del mensaje de forma estandarizada y única.</text>
  </threadedComment>
  <threadedComment ref="E12" dT="2023-10-04T21:28:34.03" personId="{8DB46502-B8FF-490B-9096-CCB4B94C2DA7}" id="{3C04F7B3-5F59-4B56-B8C6-BD85F76F59D5}">
    <text>Seleccione el tipo de mensaje, si es de usuario final o técnico.</text>
  </threadedComment>
  <threadedComment ref="F12" dT="2023-10-04T21:29:14.15" personId="{8DB46502-B8FF-490B-9096-CCB4B94C2DA7}" id="{4E68D1B2-BDA6-41EC-A845-F6B7654E48C9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2" dT="2023-10-04T21:32:31.72" personId="{8DB46502-B8FF-490B-9096-CCB4B94C2DA7}" id="{05968E6F-49D3-49EB-BED5-2230FB9D8DA7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2" dT="2023-10-04T21:31:10.26" personId="{8DB46502-B8FF-490B-9096-CCB4B94C2DA7}" id="{BB288CC4-6CAE-4DD9-BB21-E3FE1C3EF5BC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2" dT="2023-10-04T21:32:59.48" personId="{8DB46502-B8FF-490B-9096-CCB4B94C2DA7}" id="{0A3CCE53-9389-49FF-A032-4C015944E62D}">
    <text>Corresponde a los parámetros que pueden ser colocados dentro del mensaje, sea en el título o en el contenido.</text>
  </threadedComment>
  <threadedComment ref="A19" dT="2023-10-04T21:26:40.03" personId="{8DB46502-B8FF-490B-9096-CCB4B94C2DA7}" id="{F81FC066-F019-45E0-90DA-1EC07B7E1BCB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9" dT="2023-10-04T21:27:02.30" personId="{8DB46502-B8FF-490B-9096-CCB4B94C2DA7}" id="{9D17F584-C211-4D57-B3ED-3C6850851E3A}">
    <text>Indique el número del mensaje. Generalmente, es un número consecutivo.</text>
  </threadedComment>
  <threadedComment ref="C19" dT="2023-10-04T21:27:44.17" personId="{8DB46502-B8FF-490B-9096-CCB4B94C2DA7}" id="{135634B8-43D0-4986-BDFB-B03ED7B1D320}">
    <text>Este campo se calcula automáticamente. Recomendamos no modificar la fórmula de cálculo.</text>
  </threadedComment>
  <threadedComment ref="D19" dT="2023-10-04T21:28:18.57" personId="{8DB46502-B8FF-490B-9096-CCB4B94C2DA7}" id="{5FEF0B7F-DC9C-4CEE-9914-E15302E9B04C}">
    <text>Este campo se calcula automáticamente. Recomendamos no modificar la fórmula de cálculo, dado que permite hallar el código del mensaje de forma estandarizada y única.</text>
  </threadedComment>
  <threadedComment ref="E19" dT="2023-10-04T21:28:34.03" personId="{8DB46502-B8FF-490B-9096-CCB4B94C2DA7}" id="{494152A0-B48C-4FB8-97B9-A4694BEA8C84}">
    <text>Seleccione el tipo de mensaje, si es de usuario final o técnico.</text>
  </threadedComment>
  <threadedComment ref="F19" dT="2023-10-04T21:29:14.15" personId="{8DB46502-B8FF-490B-9096-CCB4B94C2DA7}" id="{6113E7A5-FF72-4B6A-BEF9-D1EEE867224C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9" dT="2023-10-04T21:32:31.72" personId="{8DB46502-B8FF-490B-9096-CCB4B94C2DA7}" id="{FFD01A26-BAA0-4B3B-B9E8-E33731A11F28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9" dT="2023-10-04T21:31:10.26" personId="{8DB46502-B8FF-490B-9096-CCB4B94C2DA7}" id="{D283D91B-B554-4DAF-A01D-6EA2D4D43BF7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9" dT="2023-10-04T21:32:59.48" personId="{8DB46502-B8FF-490B-9096-CCB4B94C2DA7}" id="{472E5333-8555-44A6-823A-A5F6E2189BF1}">
    <text>Corresponde a los parámetros que pueden ser colocados dentro del mensaje, sea en el título o en el contenido.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1" dT="2023-10-04T21:26:40.03" personId="{8DB46502-B8FF-490B-9096-CCB4B94C2DA7}" id="{D89B95C6-61D9-4C95-ACFB-D6E753B78C15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" dT="2023-10-04T21:27:02.30" personId="{8DB46502-B8FF-490B-9096-CCB4B94C2DA7}" id="{6A27FAE5-9CD4-4F39-8C26-42962FF97BC3}">
    <text>Indique el número del mensaje. Generalmente, es un número consecutivo.</text>
  </threadedComment>
  <threadedComment ref="C1" dT="2023-10-04T21:27:44.17" personId="{8DB46502-B8FF-490B-9096-CCB4B94C2DA7}" id="{F0A70FC9-DB4E-4F4E-9C82-1AE35F1ED9A0}">
    <text>Este campo se calcula automáticamente. Recomendamos no modificar la fórmula de cálculo.</text>
  </threadedComment>
  <threadedComment ref="D1" dT="2023-10-04T21:28:18.57" personId="{8DB46502-B8FF-490B-9096-CCB4B94C2DA7}" id="{3208A374-3095-4149-BBFE-F9F245E29CC1}">
    <text>Este campo se calcula automáticamente. Recomendamos no modificar la fórmula de cálculo, dado que permite hallar el código del mensaje de forma estandarizada y única.</text>
  </threadedComment>
  <threadedComment ref="E1" dT="2023-10-04T21:28:34.03" personId="{8DB46502-B8FF-490B-9096-CCB4B94C2DA7}" id="{B1B2F0EB-8065-44D3-884F-FB518CCB6DF5}">
    <text>Seleccione el tipo de mensaje, si es de usuario final o técnico.</text>
  </threadedComment>
  <threadedComment ref="F1" dT="2023-10-04T21:29:14.15" personId="{8DB46502-B8FF-490B-9096-CCB4B94C2DA7}" id="{D6639314-6A55-4D2F-9717-C5C4D7BBB1E7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" dT="2023-10-04T21:32:31.72" personId="{8DB46502-B8FF-490B-9096-CCB4B94C2DA7}" id="{CD650CD5-9A99-496F-B9FB-CA8FEEC964D6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" dT="2023-10-04T21:31:10.26" personId="{8DB46502-B8FF-490B-9096-CCB4B94C2DA7}" id="{049991CA-62E5-4767-864F-4137CCEED607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" dT="2023-10-04T21:32:59.48" personId="{8DB46502-B8FF-490B-9096-CCB4B94C2DA7}" id="{84BC9334-AE72-4751-865A-52C9A2CBF877}">
    <text>Corresponde a los parámetros que pueden ser colocados dentro del mensaje, sea en el título o en el contenido.</text>
  </threadedComment>
  <threadedComment ref="A10" dT="2023-10-04T21:26:40.03" personId="{8DB46502-B8FF-490B-9096-CCB4B94C2DA7}" id="{0F80CACB-0343-4363-B4F1-BD1B03890524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0" dT="2023-10-04T21:27:02.30" personId="{8DB46502-B8FF-490B-9096-CCB4B94C2DA7}" id="{80103282-9303-4865-8054-1710404F9DD7}">
    <text>Indique el número del mensaje. Generalmente, es un número consecutivo.</text>
  </threadedComment>
  <threadedComment ref="C10" dT="2023-10-04T21:27:44.17" personId="{8DB46502-B8FF-490B-9096-CCB4B94C2DA7}" id="{12687C1F-403A-4574-AAEC-FC754C22CB30}">
    <text>Este campo se calcula automáticamente. Recomendamos no modificar la fórmula de cálculo.</text>
  </threadedComment>
  <threadedComment ref="D10" dT="2023-10-04T21:28:18.57" personId="{8DB46502-B8FF-490B-9096-CCB4B94C2DA7}" id="{A0B59025-AF4D-4CB3-BEAC-2EEEF18CB8E9}">
    <text>Este campo se calcula automáticamente. Recomendamos no modificar la fórmula de cálculo, dado que permite hallar el código del mensaje de forma estandarizada y única.</text>
  </threadedComment>
  <threadedComment ref="E10" dT="2023-10-04T21:28:34.03" personId="{8DB46502-B8FF-490B-9096-CCB4B94C2DA7}" id="{F1DFF690-6E4E-4DD5-9EBC-D4B7F8CC3919}">
    <text>Seleccione el tipo de mensaje, si es de usuario final o técnico.</text>
  </threadedComment>
  <threadedComment ref="F10" dT="2023-10-04T21:29:14.15" personId="{8DB46502-B8FF-490B-9096-CCB4B94C2DA7}" id="{156C9F5B-110F-4C5F-8502-97FF49E5EF03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0" dT="2023-10-04T21:32:31.72" personId="{8DB46502-B8FF-490B-9096-CCB4B94C2DA7}" id="{01B85A52-E889-4CC5-A388-E208B042438F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0" dT="2023-10-04T21:31:10.26" personId="{8DB46502-B8FF-490B-9096-CCB4B94C2DA7}" id="{144044EA-0D57-4B9A-A640-4D340ABA50F4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0" dT="2023-10-04T21:32:59.48" personId="{8DB46502-B8FF-490B-9096-CCB4B94C2DA7}" id="{7B649D8F-1E5C-4050-A75E-2CE98D162937}">
    <text>Corresponde a los parámetros que pueden ser colocados dentro del mensaje, sea en el título o en el contenido.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A1" dT="2023-10-04T21:26:40.03" personId="{8DB46502-B8FF-490B-9096-CCB4B94C2DA7}" id="{5C32F757-D946-4640-B8AE-C844FA6A346E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" dT="2023-10-04T21:27:02.30" personId="{8DB46502-B8FF-490B-9096-CCB4B94C2DA7}" id="{9418E9E5-A8B8-460A-AD8A-9CDE7B76C8AE}">
    <text>Indique el número del mensaje. Generalmente, es un número consecutivo.</text>
  </threadedComment>
  <threadedComment ref="C1" dT="2023-10-04T21:27:44.17" personId="{8DB46502-B8FF-490B-9096-CCB4B94C2DA7}" id="{BDB609D7-A896-461F-A548-4C0B7177D189}">
    <text>Este campo se calcula automáticamente. Recomendamos no modificar la fórmula de cálculo.</text>
  </threadedComment>
  <threadedComment ref="D1" dT="2023-10-04T21:28:18.57" personId="{8DB46502-B8FF-490B-9096-CCB4B94C2DA7}" id="{EE48EB49-F169-4522-8B76-E10030225D02}">
    <text>Este campo se calcula automáticamente. Recomendamos no modificar la fórmula de cálculo, dado que permite hallar el código del mensaje de forma estandarizada y única.</text>
  </threadedComment>
  <threadedComment ref="E1" dT="2023-10-04T21:28:34.03" personId="{8DB46502-B8FF-490B-9096-CCB4B94C2DA7}" id="{E97D6592-15EE-4C41-A90F-5EFAB64ECF70}">
    <text>Seleccione el tipo de mensaje, si es de usuario final o técnico.</text>
  </threadedComment>
  <threadedComment ref="F1" dT="2023-10-04T21:29:14.15" personId="{8DB46502-B8FF-490B-9096-CCB4B94C2DA7}" id="{CB8A864B-EC4B-413B-A7F5-7D9B607C5BEE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" dT="2023-10-04T21:32:31.72" personId="{8DB46502-B8FF-490B-9096-CCB4B94C2DA7}" id="{7ECB7575-C406-450A-9FF8-A6F820547223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" dT="2023-10-04T21:31:10.26" personId="{8DB46502-B8FF-490B-9096-CCB4B94C2DA7}" id="{F6EDB117-9F3B-4BA7-BDC2-FE8CF07ECC3C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" dT="2023-10-04T21:32:59.48" personId="{8DB46502-B8FF-490B-9096-CCB4B94C2DA7}" id="{D7E83DC9-118E-4CD3-B30C-C340473BAC9B}">
    <text>Corresponde a los parámetros que pueden ser colocados dentro del mensaje, sea en el título o en el contenido.</text>
  </threadedComment>
  <threadedComment ref="A10" dT="2023-10-04T21:26:40.03" personId="{8DB46502-B8FF-490B-9096-CCB4B94C2DA7}" id="{7D51D247-9255-4BEC-AE84-059A460B56EC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0" dT="2023-10-04T21:27:02.30" personId="{8DB46502-B8FF-490B-9096-CCB4B94C2DA7}" id="{3E27E9CB-BEB8-4FEB-AD48-E2FCC4FF8219}">
    <text>Indique el número del mensaje. Generalmente, es un número consecutivo.</text>
  </threadedComment>
  <threadedComment ref="C10" dT="2023-10-04T21:27:44.17" personId="{8DB46502-B8FF-490B-9096-CCB4B94C2DA7}" id="{73676F8D-B9BB-4AC5-B1D7-FA0CA8EACE92}">
    <text>Este campo se calcula automáticamente. Recomendamos no modificar la fórmula de cálculo.</text>
  </threadedComment>
  <threadedComment ref="D10" dT="2023-10-04T21:28:18.57" personId="{8DB46502-B8FF-490B-9096-CCB4B94C2DA7}" id="{F16D200A-4B89-43F7-AA90-B19FBFEF1433}">
    <text>Este campo se calcula automáticamente. Recomendamos no modificar la fórmula de cálculo, dado que permite hallar el código del mensaje de forma estandarizada y única.</text>
  </threadedComment>
  <threadedComment ref="E10" dT="2023-10-04T21:28:34.03" personId="{8DB46502-B8FF-490B-9096-CCB4B94C2DA7}" id="{E78EF1D4-B730-467C-95F2-D1DF711977C7}">
    <text>Seleccione el tipo de mensaje, si es de usuario final o técnico.</text>
  </threadedComment>
  <threadedComment ref="F10" dT="2023-10-04T21:29:14.15" personId="{8DB46502-B8FF-490B-9096-CCB4B94C2DA7}" id="{57FB079F-4C78-4F0D-AF05-BCF63DFE2DEE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0" dT="2023-10-04T21:32:31.72" personId="{8DB46502-B8FF-490B-9096-CCB4B94C2DA7}" id="{86DF73D4-93A3-4D0D-8B79-F49CBBA7F0EB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0" dT="2023-10-04T21:31:10.26" personId="{8DB46502-B8FF-490B-9096-CCB4B94C2DA7}" id="{CE08DD0F-27E5-4222-965C-4E788BBBB264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0" dT="2023-10-04T21:32:59.48" personId="{8DB46502-B8FF-490B-9096-CCB4B94C2DA7}" id="{EDB1DCF3-B8F8-46B2-B118-73173929B06A}">
    <text>Corresponde a los parámetros que pueden ser colocados dentro del mensaje, sea en el título o en el contenido.</text>
  </threadedComment>
  <threadedComment ref="A17" dT="2023-10-04T21:26:40.03" personId="{8DB46502-B8FF-490B-9096-CCB4B94C2DA7}" id="{620AEE66-10A0-4A9E-8275-9207E53D4437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7" dT="2023-10-04T21:27:02.30" personId="{8DB46502-B8FF-490B-9096-CCB4B94C2DA7}" id="{FA5328B9-C25F-445A-9C0F-221D54B0D0C8}">
    <text>Indique el número del mensaje. Generalmente, es un número consecutivo.</text>
  </threadedComment>
  <threadedComment ref="C17" dT="2023-10-04T21:27:44.17" personId="{8DB46502-B8FF-490B-9096-CCB4B94C2DA7}" id="{BE46F86E-5B1E-41B4-8662-B9E12EAAEA32}">
    <text>Este campo se calcula automáticamente. Recomendamos no modificar la fórmula de cálculo.</text>
  </threadedComment>
  <threadedComment ref="D17" dT="2023-10-04T21:28:18.57" personId="{8DB46502-B8FF-490B-9096-CCB4B94C2DA7}" id="{9A23F75D-10B7-4AB2-8822-D1581BF19F20}">
    <text>Este campo se calcula automáticamente. Recomendamos no modificar la fórmula de cálculo, dado que permite hallar el código del mensaje de forma estandarizada y única.</text>
  </threadedComment>
  <threadedComment ref="E17" dT="2023-10-04T21:28:34.03" personId="{8DB46502-B8FF-490B-9096-CCB4B94C2DA7}" id="{05A2F382-F093-4845-BD0F-6A955D557D95}">
    <text>Seleccione el tipo de mensaje, si es de usuario final o técnico.</text>
  </threadedComment>
  <threadedComment ref="F17" dT="2023-10-04T21:29:14.15" personId="{8DB46502-B8FF-490B-9096-CCB4B94C2DA7}" id="{9F819B52-D283-4A85-8CDB-D402A62D6244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7" dT="2023-10-04T21:32:31.72" personId="{8DB46502-B8FF-490B-9096-CCB4B94C2DA7}" id="{7342BAB1-3916-4036-B7F6-6C9FC0927334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7" dT="2023-10-04T21:31:10.26" personId="{8DB46502-B8FF-490B-9096-CCB4B94C2DA7}" id="{9AFB5506-C234-4F00-93B3-AA38BD514261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7" dT="2023-10-04T21:32:59.48" personId="{8DB46502-B8FF-490B-9096-CCB4B94C2DA7}" id="{CAD3FC16-50F4-40B3-AAC6-CD8B00D74F22}">
    <text>Corresponde a los parámetros que pueden ser colocados dentro del mensaje, sea en el título o en el contenido.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A1" dT="2023-10-04T21:26:40.03" personId="{8DB46502-B8FF-490B-9096-CCB4B94C2DA7}" id="{E0CB130F-A3C9-480C-A328-2DE6BCCE90CA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" dT="2023-10-04T21:27:02.30" personId="{8DB46502-B8FF-490B-9096-CCB4B94C2DA7}" id="{440D1B26-4511-4C12-A801-7F124DA54418}">
    <text>Indique el número del mensaje. Generalmente, es un número consecutivo.</text>
  </threadedComment>
  <threadedComment ref="C1" dT="2023-10-04T21:27:44.17" personId="{8DB46502-B8FF-490B-9096-CCB4B94C2DA7}" id="{92247A58-4CDD-4BD9-8266-74C85813B1B6}">
    <text>Este campo se calcula automáticamente. Recomendamos no modificar la fórmula de cálculo.</text>
  </threadedComment>
  <threadedComment ref="D1" dT="2023-10-04T21:28:18.57" personId="{8DB46502-B8FF-490B-9096-CCB4B94C2DA7}" id="{0A0279C2-26AA-467F-B5A7-AF73FF953AA4}">
    <text>Este campo se calcula automáticamente. Recomendamos no modificar la fórmula de cálculo, dado que permite hallar el código del mensaje de forma estandarizada y única.</text>
  </threadedComment>
  <threadedComment ref="E1" dT="2023-10-04T21:28:34.03" personId="{8DB46502-B8FF-490B-9096-CCB4B94C2DA7}" id="{FED220D0-7F1C-4601-9137-880004221E0F}">
    <text>Seleccione el tipo de mensaje, si es de usuario final o técnico.</text>
  </threadedComment>
  <threadedComment ref="F1" dT="2023-10-04T21:29:14.15" personId="{8DB46502-B8FF-490B-9096-CCB4B94C2DA7}" id="{9081CE76-08EA-44BD-B568-131326EAD189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" dT="2023-10-04T21:32:31.72" personId="{8DB46502-B8FF-490B-9096-CCB4B94C2DA7}" id="{ED9E8458-9A01-48BD-8066-0CB0703A4FBC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" dT="2023-10-04T21:31:10.26" personId="{8DB46502-B8FF-490B-9096-CCB4B94C2DA7}" id="{27B534E6-FC0A-427C-B274-A92931C64730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" dT="2023-10-04T21:32:59.48" personId="{8DB46502-B8FF-490B-9096-CCB4B94C2DA7}" id="{8CEEC002-97CB-45CD-8F38-9B826FF6A123}">
    <text>Corresponde a los parámetros que pueden ser colocados dentro del mensaje, sea en el título o en el contenido.</text>
  </threadedComment>
  <threadedComment ref="A10" dT="2023-10-04T21:26:40.03" personId="{8DB46502-B8FF-490B-9096-CCB4B94C2DA7}" id="{B50C4D6C-C8D9-4EC3-A92E-9F065629D59B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0" dT="2023-10-04T21:27:02.30" personId="{8DB46502-B8FF-490B-9096-CCB4B94C2DA7}" id="{F908BE95-3A4E-4C19-9304-02C94396C60E}">
    <text>Indique el número del mensaje. Generalmente, es un número consecutivo.</text>
  </threadedComment>
  <threadedComment ref="C10" dT="2023-10-04T21:27:44.17" personId="{8DB46502-B8FF-490B-9096-CCB4B94C2DA7}" id="{44220720-A9E6-4FC4-A8FD-644E74A208A9}">
    <text>Este campo se calcula automáticamente. Recomendamos no modificar la fórmula de cálculo.</text>
  </threadedComment>
  <threadedComment ref="D10" dT="2023-10-04T21:28:18.57" personId="{8DB46502-B8FF-490B-9096-CCB4B94C2DA7}" id="{65CE43DF-7412-4E18-8B39-816FC2B5F69B}">
    <text>Este campo se calcula automáticamente. Recomendamos no modificar la fórmula de cálculo, dado que permite hallar el código del mensaje de forma estandarizada y única.</text>
  </threadedComment>
  <threadedComment ref="E10" dT="2023-10-04T21:28:34.03" personId="{8DB46502-B8FF-490B-9096-CCB4B94C2DA7}" id="{67BA0DBE-D7C8-4EE3-8596-4C472D25A287}">
    <text>Seleccione el tipo de mensaje, si es de usuario final o técnico.</text>
  </threadedComment>
  <threadedComment ref="F10" dT="2023-10-04T21:29:14.15" personId="{8DB46502-B8FF-490B-9096-CCB4B94C2DA7}" id="{AB9286E6-538E-428F-B426-8A1537F93972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0" dT="2023-10-04T21:32:31.72" personId="{8DB46502-B8FF-490B-9096-CCB4B94C2DA7}" id="{06E087B8-AB64-46F3-98C4-E95B767B7B8D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0" dT="2023-10-04T21:31:10.26" personId="{8DB46502-B8FF-490B-9096-CCB4B94C2DA7}" id="{1F943A91-33D0-4A54-93DE-193AF4C91285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0" dT="2023-10-04T21:32:59.48" personId="{8DB46502-B8FF-490B-9096-CCB4B94C2DA7}" id="{E03290EB-A66C-48FF-A2F7-1F602CDEC21B}">
    <text>Corresponde a los parámetros que pueden ser colocados dentro del mensaje, sea en el título o en el contenido.</text>
  </threadedComment>
  <threadedComment ref="A18" dT="2023-10-04T21:26:40.03" personId="{8DB46502-B8FF-490B-9096-CCB4B94C2DA7}" id="{F9063172-5D85-45F5-BFC5-782F9CEC19D9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8" dT="2023-10-04T21:27:02.30" personId="{8DB46502-B8FF-490B-9096-CCB4B94C2DA7}" id="{2F690D94-1406-4A9C-8DFC-5C569548AEF0}">
    <text>Indique el número del mensaje. Generalmente, es un número consecutivo.</text>
  </threadedComment>
  <threadedComment ref="C18" dT="2023-10-04T21:27:44.17" personId="{8DB46502-B8FF-490B-9096-CCB4B94C2DA7}" id="{5F203F10-0DBA-40E6-A4DF-2002E7EA6BE0}">
    <text>Este campo se calcula automáticamente. Recomendamos no modificar la fórmula de cálculo.</text>
  </threadedComment>
  <threadedComment ref="D18" dT="2023-10-04T21:28:18.57" personId="{8DB46502-B8FF-490B-9096-CCB4B94C2DA7}" id="{EC132468-B30B-44F8-92AF-98184ED77334}">
    <text>Este campo se calcula automáticamente. Recomendamos no modificar la fórmula de cálculo, dado que permite hallar el código del mensaje de forma estandarizada y única.</text>
  </threadedComment>
  <threadedComment ref="E18" dT="2023-10-04T21:28:34.03" personId="{8DB46502-B8FF-490B-9096-CCB4B94C2DA7}" id="{EADF2AA7-2B16-4C5D-A100-48BAF137392F}">
    <text>Seleccione el tipo de mensaje, si es de usuario final o técnico.</text>
  </threadedComment>
  <threadedComment ref="F18" dT="2023-10-04T21:29:14.15" personId="{8DB46502-B8FF-490B-9096-CCB4B94C2DA7}" id="{961D5273-2726-495A-84B7-1C7CA22A4045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8" dT="2023-10-04T21:32:31.72" personId="{8DB46502-B8FF-490B-9096-CCB4B94C2DA7}" id="{9BC4A20A-7BC9-490F-B148-41C504F89AAA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8" dT="2023-10-04T21:31:10.26" personId="{8DB46502-B8FF-490B-9096-CCB4B94C2DA7}" id="{86F52A50-6EDE-469F-91A4-CCF2547E68A6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8" dT="2023-10-04T21:32:59.48" personId="{8DB46502-B8FF-490B-9096-CCB4B94C2DA7}" id="{FDB30918-CE3D-47ED-890B-940B3CE31E56}">
    <text>Corresponde a los parámetros que pueden ser colocados dentro del mensaje, sea en el título o en el contenido.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A1" dT="2023-10-04T21:26:40.03" personId="{8DB46502-B8FF-490B-9096-CCB4B94C2DA7}" id="{5C1BBE8F-D143-4DA3-A000-58432B23D8DC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" dT="2023-10-04T21:27:02.30" personId="{8DB46502-B8FF-490B-9096-CCB4B94C2DA7}" id="{90600513-3E22-44AB-A5CB-ECE1E0E70BF8}">
    <text>Indique el número del mensaje. Generalmente, es un número consecutivo.</text>
  </threadedComment>
  <threadedComment ref="C1" dT="2023-10-04T21:27:44.17" personId="{8DB46502-B8FF-490B-9096-CCB4B94C2DA7}" id="{7E7C1C8A-7453-4B57-BB3C-B854A5A56A06}">
    <text>Este campo se calcula automáticamente. Recomendamos no modificar la fórmula de cálculo.</text>
  </threadedComment>
  <threadedComment ref="D1" dT="2023-10-04T21:28:18.57" personId="{8DB46502-B8FF-490B-9096-CCB4B94C2DA7}" id="{9A693695-4F0F-43A0-A3BC-1BB20B96FF4D}">
    <text>Este campo se calcula automáticamente. Recomendamos no modificar la fórmula de cálculo, dado que permite hallar el código del mensaje de forma estandarizada y única.</text>
  </threadedComment>
  <threadedComment ref="E1" dT="2023-10-04T21:28:34.03" personId="{8DB46502-B8FF-490B-9096-CCB4B94C2DA7}" id="{6B4AED53-1CFC-4C36-96AD-F8CA04DD5646}">
    <text>Seleccione el tipo de mensaje, si es de usuario final o técnico.</text>
  </threadedComment>
  <threadedComment ref="F1" dT="2023-10-04T21:29:14.15" personId="{8DB46502-B8FF-490B-9096-CCB4B94C2DA7}" id="{607A0759-83AD-4D46-9669-4A89739C88BC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" dT="2023-10-04T21:32:31.72" personId="{8DB46502-B8FF-490B-9096-CCB4B94C2DA7}" id="{B8A15F58-4F29-466C-9FC2-250C6BE7D211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" dT="2023-10-04T21:31:10.26" personId="{8DB46502-B8FF-490B-9096-CCB4B94C2DA7}" id="{D85C8CDC-96DB-467B-81BD-1123058E1821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" dT="2023-10-04T21:32:59.48" personId="{8DB46502-B8FF-490B-9096-CCB4B94C2DA7}" id="{C5D8918C-AA6D-4C78-B35D-02046A293480}">
    <text>Corresponde a los parámetros que pueden ser colocados dentro del mensaje, sea en el título o en el contenido.</text>
  </threadedComment>
  <threadedComment ref="A12" dT="2023-10-04T21:26:40.03" personId="{8DB46502-B8FF-490B-9096-CCB4B94C2DA7}" id="{944F98AA-0716-449A-8519-B8C58E598C65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2" dT="2023-10-04T21:27:02.30" personId="{8DB46502-B8FF-490B-9096-CCB4B94C2DA7}" id="{F9823D49-562F-4389-9791-F56FC47484AF}">
    <text>Indique el número del mensaje. Generalmente, es un número consecutivo.</text>
  </threadedComment>
  <threadedComment ref="C12" dT="2023-10-04T21:27:44.17" personId="{8DB46502-B8FF-490B-9096-CCB4B94C2DA7}" id="{35EFC347-003B-4300-8F72-2DDBD98E52CC}">
    <text>Este campo se calcula automáticamente. Recomendamos no modificar la fórmula de cálculo.</text>
  </threadedComment>
  <threadedComment ref="D12" dT="2023-10-04T21:28:18.57" personId="{8DB46502-B8FF-490B-9096-CCB4B94C2DA7}" id="{D94DB32D-81FB-4422-8102-85ACCDA69CB9}">
    <text>Este campo se calcula automáticamente. Recomendamos no modificar la fórmula de cálculo, dado que permite hallar el código del mensaje de forma estandarizada y única.</text>
  </threadedComment>
  <threadedComment ref="E12" dT="2023-10-04T21:28:34.03" personId="{8DB46502-B8FF-490B-9096-CCB4B94C2DA7}" id="{B396874E-F817-427D-987E-000C756A2478}">
    <text>Seleccione el tipo de mensaje, si es de usuario final o técnico.</text>
  </threadedComment>
  <threadedComment ref="F12" dT="2023-10-04T21:29:14.15" personId="{8DB46502-B8FF-490B-9096-CCB4B94C2DA7}" id="{3BD6C6C9-F93A-4C24-AB6C-2FF84693C3C5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2" dT="2023-10-04T21:32:31.72" personId="{8DB46502-B8FF-490B-9096-CCB4B94C2DA7}" id="{AFE6BCDA-F6D9-4C6F-A0D0-8818AA43205B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2" dT="2023-10-04T21:31:10.26" personId="{8DB46502-B8FF-490B-9096-CCB4B94C2DA7}" id="{735177BE-ED82-4BD4-A4D8-A463633B3677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2" dT="2023-10-04T21:32:59.48" personId="{8DB46502-B8FF-490B-9096-CCB4B94C2DA7}" id="{462DF705-70F6-4957-971F-71C9E82773BD}">
    <text>Corresponde a los parámetros que pueden ser colocados dentro del mensaje, sea en el título o en el contenido.</text>
  </threadedComment>
  <threadedComment ref="A19" dT="2023-10-04T21:26:40.03" personId="{8DB46502-B8FF-490B-9096-CCB4B94C2DA7}" id="{A1F5345D-97A8-4E74-9FD2-B54E8ED9569D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9" dT="2023-10-04T21:27:02.30" personId="{8DB46502-B8FF-490B-9096-CCB4B94C2DA7}" id="{0F626F7C-ABE0-4FFF-94D2-4411B01B5100}">
    <text>Indique el número del mensaje. Generalmente, es un número consecutivo.</text>
  </threadedComment>
  <threadedComment ref="C19" dT="2023-10-04T21:27:44.17" personId="{8DB46502-B8FF-490B-9096-CCB4B94C2DA7}" id="{51A723F7-2F7D-48D3-A7FC-495A3051E03A}">
    <text>Este campo se calcula automáticamente. Recomendamos no modificar la fórmula de cálculo.</text>
  </threadedComment>
  <threadedComment ref="D19" dT="2023-10-04T21:28:18.57" personId="{8DB46502-B8FF-490B-9096-CCB4B94C2DA7}" id="{A1BD8C83-2A7A-4068-867C-7EEB69B9D15A}">
    <text>Este campo se calcula automáticamente. Recomendamos no modificar la fórmula de cálculo, dado que permite hallar el código del mensaje de forma estandarizada y única.</text>
  </threadedComment>
  <threadedComment ref="E19" dT="2023-10-04T21:28:34.03" personId="{8DB46502-B8FF-490B-9096-CCB4B94C2DA7}" id="{1EA241E1-1C40-47D8-8959-37930E892F9C}">
    <text>Seleccione el tipo de mensaje, si es de usuario final o técnico.</text>
  </threadedComment>
  <threadedComment ref="F19" dT="2023-10-04T21:29:14.15" personId="{8DB46502-B8FF-490B-9096-CCB4B94C2DA7}" id="{79D888BE-94DE-4B39-B684-C5B974601ADD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9" dT="2023-10-04T21:32:31.72" personId="{8DB46502-B8FF-490B-9096-CCB4B94C2DA7}" id="{54122747-5F16-4C77-8AD7-490F039F330C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9" dT="2023-10-04T21:31:10.26" personId="{8DB46502-B8FF-490B-9096-CCB4B94C2DA7}" id="{F5A81332-A58D-4C57-9A1C-5B84B7DE6F0D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9" dT="2023-10-04T21:32:59.48" personId="{8DB46502-B8FF-490B-9096-CCB4B94C2DA7}" id="{40B96E0D-C75B-470F-A51B-B72878818CE4}">
    <text>Corresponde a los parámetros que pueden ser colocados dentro del mensaje, sea en el título o en el contenido.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A1" dT="2023-10-04T21:26:40.03" personId="{8DB46502-B8FF-490B-9096-CCB4B94C2DA7}" id="{2DA35890-DF67-4A82-B539-95B620150FA0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" dT="2023-10-04T21:27:02.30" personId="{8DB46502-B8FF-490B-9096-CCB4B94C2DA7}" id="{574AD347-6ED2-45C7-ABE1-09C6C8A64A1F}">
    <text>Indique el número del mensaje. Generalmente, es un número consecutivo.</text>
  </threadedComment>
  <threadedComment ref="C1" dT="2023-10-04T21:27:44.17" personId="{8DB46502-B8FF-490B-9096-CCB4B94C2DA7}" id="{9286385D-A47F-473A-A063-6B7DA2A68E40}">
    <text>Este campo se calcula automáticamente. Recomendamos no modificar la fórmula de cálculo.</text>
  </threadedComment>
  <threadedComment ref="D1" dT="2023-10-04T21:28:18.57" personId="{8DB46502-B8FF-490B-9096-CCB4B94C2DA7}" id="{0C86D6B9-E946-4108-9CAE-2CADF3560B39}">
    <text>Este campo se calcula automáticamente. Recomendamos no modificar la fórmula de cálculo, dado que permite hallar el código del mensaje de forma estandarizada y única.</text>
  </threadedComment>
  <threadedComment ref="E1" dT="2023-10-04T21:28:34.03" personId="{8DB46502-B8FF-490B-9096-CCB4B94C2DA7}" id="{C5A8FC57-DAF2-47A8-9426-41E168086269}">
    <text>Seleccione el tipo de mensaje, si es de usuario final o técnico.</text>
  </threadedComment>
  <threadedComment ref="F1" dT="2023-10-04T21:29:14.15" personId="{8DB46502-B8FF-490B-9096-CCB4B94C2DA7}" id="{2691F66F-750C-4C66-959F-D2E5A40A6D5D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" dT="2023-10-04T21:32:31.72" personId="{8DB46502-B8FF-490B-9096-CCB4B94C2DA7}" id="{4B846BF8-C649-494A-901F-EA0AF9137D08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" dT="2023-10-04T21:31:10.26" personId="{8DB46502-B8FF-490B-9096-CCB4B94C2DA7}" id="{83FDB513-9F38-494D-A0A8-83C25CD93ECA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" dT="2023-10-04T21:32:59.48" personId="{8DB46502-B8FF-490B-9096-CCB4B94C2DA7}" id="{E1A57CB9-CE62-483F-B651-4D965AAAE05A}">
    <text>Corresponde a los parámetros que pueden ser colocados dentro del mensaje, sea en el título o en el contenido.</text>
  </threadedComment>
  <threadedComment ref="A8" dT="2023-10-04T21:26:40.03" personId="{8DB46502-B8FF-490B-9096-CCB4B94C2DA7}" id="{EA725329-B14C-454A-9530-BE6365804C42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8" dT="2023-10-04T21:27:02.30" personId="{8DB46502-B8FF-490B-9096-CCB4B94C2DA7}" id="{3D82C537-E564-40AB-ABFF-538D9FFDB1A3}">
    <text>Indique el número del mensaje. Generalmente, es un número consecutivo.</text>
  </threadedComment>
  <threadedComment ref="C8" dT="2023-10-04T21:27:44.17" personId="{8DB46502-B8FF-490B-9096-CCB4B94C2DA7}" id="{2369787A-B940-446E-9889-CD60D840AB43}">
    <text>Este campo se calcula automáticamente. Recomendamos no modificar la fórmula de cálculo.</text>
  </threadedComment>
  <threadedComment ref="D8" dT="2023-10-04T21:28:18.57" personId="{8DB46502-B8FF-490B-9096-CCB4B94C2DA7}" id="{5176DF3F-241C-4C91-969A-761798608280}">
    <text>Este campo se calcula automáticamente. Recomendamos no modificar la fórmula de cálculo, dado que permite hallar el código del mensaje de forma estandarizada y única.</text>
  </threadedComment>
  <threadedComment ref="E8" dT="2023-10-04T21:28:34.03" personId="{8DB46502-B8FF-490B-9096-CCB4B94C2DA7}" id="{64F0797A-866E-4557-A738-35DC165BFF96}">
    <text>Seleccione el tipo de mensaje, si es de usuario final o técnico.</text>
  </threadedComment>
  <threadedComment ref="F8" dT="2023-10-04T21:29:14.15" personId="{8DB46502-B8FF-490B-9096-CCB4B94C2DA7}" id="{F239729D-1F92-48A5-AC1B-2ABE84F25D65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8" dT="2023-10-04T21:32:31.72" personId="{8DB46502-B8FF-490B-9096-CCB4B94C2DA7}" id="{9A0395B5-8933-4C9D-8CEE-8351CB03A50A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8" dT="2023-10-04T21:31:10.26" personId="{8DB46502-B8FF-490B-9096-CCB4B94C2DA7}" id="{72DEA2BF-DD5A-4692-8E72-A69175D6187E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8" dT="2023-10-04T21:32:59.48" personId="{8DB46502-B8FF-490B-9096-CCB4B94C2DA7}" id="{F88B48E7-5795-4004-ABB7-13C648BF3FFB}">
    <text>Corresponde a los parámetros que pueden ser colocados dentro del mensaje, sea en el título o en el contenido.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A1" dT="2023-10-04T21:26:40.03" personId="{8DB46502-B8FF-490B-9096-CCB4B94C2DA7}" id="{660392F1-1063-4D43-93E3-C8AFFD92A142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1" dT="2023-10-04T21:27:02.30" personId="{8DB46502-B8FF-490B-9096-CCB4B94C2DA7}" id="{C5EBE9F3-F969-4346-8412-1CE4D6BDF52D}">
    <text>Indique el número del mensaje. Generalmente, es un número consecutivo.</text>
  </threadedComment>
  <threadedComment ref="C1" dT="2023-10-04T21:27:44.17" personId="{8DB46502-B8FF-490B-9096-CCB4B94C2DA7}" id="{72F945A4-B703-4711-8BE5-A5FD2D4877C7}">
    <text>Este campo se calcula automáticamente. Recomendamos no modificar la fórmula de cálculo.</text>
  </threadedComment>
  <threadedComment ref="D1" dT="2023-10-04T21:28:18.57" personId="{8DB46502-B8FF-490B-9096-CCB4B94C2DA7}" id="{9885A83B-19A7-40DE-ADC1-DF92F59BE59E}">
    <text>Este campo se calcula automáticamente. Recomendamos no modificar la fórmula de cálculo, dado que permite hallar el código del mensaje de forma estandarizada y única.</text>
  </threadedComment>
  <threadedComment ref="E1" dT="2023-10-04T21:28:34.03" personId="{8DB46502-B8FF-490B-9096-CCB4B94C2DA7}" id="{222A0627-9866-4F83-9467-D20B23EB5527}">
    <text>Seleccione el tipo de mensaje, si es de usuario final o técnico.</text>
  </threadedComment>
  <threadedComment ref="F1" dT="2023-10-04T21:29:14.15" personId="{8DB46502-B8FF-490B-9096-CCB4B94C2DA7}" id="{806875C6-722D-4A3E-A588-11296D543981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1" dT="2023-10-04T21:32:31.72" personId="{8DB46502-B8FF-490B-9096-CCB4B94C2DA7}" id="{305B8978-E31E-4BDF-A0B4-92A064211B2B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1" dT="2023-10-04T21:31:10.26" personId="{8DB46502-B8FF-490B-9096-CCB4B94C2DA7}" id="{5C6499F5-6BFB-4282-B3A9-86EE8339E165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1" dT="2023-10-04T21:32:59.48" personId="{8DB46502-B8FF-490B-9096-CCB4B94C2DA7}" id="{33205771-CA5A-4E4C-8D01-D3BB2325237A}">
    <text>Corresponde a los parámetros que pueden ser colocados dentro del mensaje, sea en el título o en el contenido.</text>
  </threadedComment>
  <threadedComment ref="A6" dT="2023-10-04T21:26:40.03" personId="{8DB46502-B8FF-490B-9096-CCB4B94C2DA7}" id="{009EC594-9AED-45EB-BBCB-64A3B77C367A}">
    <text>Corresponde al nombre del modelo al cual pertenece el mensaje. Selecciónelo desde la lista desplegable. En caso de que el modelo no exista o desee corregir el nombre, alimenta la hoja "Valores" con el nuevo modelo o con la información deseada.</text>
  </threadedComment>
  <threadedComment ref="B6" dT="2023-10-04T21:27:02.30" personId="{8DB46502-B8FF-490B-9096-CCB4B94C2DA7}" id="{012B0132-5044-4617-B2B3-1609188B1F49}">
    <text>Indique el número del mensaje. Generalmente, es un número consecutivo.</text>
  </threadedComment>
  <threadedComment ref="C6" dT="2023-10-04T21:27:44.17" personId="{8DB46502-B8FF-490B-9096-CCB4B94C2DA7}" id="{530D149A-EF28-4B85-BA6B-72B6ECDCB038}">
    <text>Este campo se calcula automáticamente. Recomendamos no modificar la fórmula de cálculo.</text>
  </threadedComment>
  <threadedComment ref="D6" dT="2023-10-04T21:28:18.57" personId="{8DB46502-B8FF-490B-9096-CCB4B94C2DA7}" id="{CDC28EB1-DE4F-4DA2-9248-605E87F51E8D}">
    <text>Este campo se calcula automáticamente. Recomendamos no modificar la fórmula de cálculo, dado que permite hallar el código del mensaje de forma estandarizada y única.</text>
  </threadedComment>
  <threadedComment ref="E6" dT="2023-10-04T21:28:34.03" personId="{8DB46502-B8FF-490B-9096-CCB4B94C2DA7}" id="{3A4DAE43-7827-4C50-AD02-26E67C7980EA}">
    <text>Seleccione el tipo de mensaje, si es de usuario final o técnico.</text>
  </threadedComment>
  <threadedComment ref="F6" dT="2023-10-04T21:29:14.15" personId="{8DB46502-B8FF-490B-9096-CCB4B94C2DA7}" id="{E40C87EC-21CA-463A-850B-66C79AD08CBF}">
    <text>Categoría Mensaje: Corresponde a la categoría del mensaje
o Información: Corresponde a un mensaje que se considera informativo
o Éxito: Corresponde a un mensaje que se considera de éxito
o Advertencia: Corresponde a un mensaje que se considera de advertencia
o Confirmación: Corresponde a un mensaje que se muestra cuando corresponde a una confirmación que debe confirmar el usuario
o Error: Corresponde a un mensaje de error que puede ser manejado por el usuario
o Fatal: Corresponde a un mensaje fatal, donde no hay nada por hacer</text>
  </threadedComment>
  <threadedComment ref="G6" dT="2023-10-04T21:32:31.72" personId="{8DB46502-B8FF-490B-9096-CCB4B94C2DA7}" id="{84E6307B-BDEF-4A1C-A976-21AB42D69438}">
    <text xml:space="preserve">Corresponde al título del mensaje que se quiere aparezca en un título. Puede contener parámetros, los cuales se recomienda colocar como consecutivos con la notación "${0}", "${1}", "${2}", "${N}" o la notación que se defina claramente.
</text>
  </threadedComment>
  <threadedComment ref="H6" dT="2023-10-04T21:31:10.26" personId="{8DB46502-B8FF-490B-9096-CCB4B94C2DA7}" id="{0D5B3E2B-8396-4CFF-8A52-667D3555B7BE}">
    <text>Corresponde a la descripción o contenido del mensaje. Puede contener parámetros, los cuales se recomienda colocar como consecutivos con la notación "${0}", "${1}", "${2}", "${N}" o la notación que se defina claramente.</text>
  </threadedComment>
  <threadedComment ref="I6" dT="2023-10-04T21:32:59.48" personId="{8DB46502-B8FF-490B-9096-CCB4B94C2DA7}" id="{71DBD9A6-97AC-4825-86D3-E14C665B60F2}">
    <text>Corresponde a los parámetros que pueden ser colocados dentro del mensaje, sea en el título o en el contenido.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activeCell="G18" sqref="G18"/>
    </sheetView>
  </sheetViews>
  <sheetFormatPr defaultColWidth="11.42578125" defaultRowHeight="15"/>
  <cols>
    <col min="1" max="1" width="17.42578125" bestFit="1" customWidth="1"/>
    <col min="2" max="3" width="17.42578125" customWidth="1"/>
    <col min="4" max="4" width="15.5703125" bestFit="1" customWidth="1"/>
    <col min="7" max="7" width="19.140625" customWidth="1"/>
    <col min="8" max="8" width="13" customWidth="1"/>
  </cols>
  <sheetData>
    <row r="1" spans="1:8">
      <c r="A1" s="59" t="s">
        <v>0</v>
      </c>
      <c r="B1" s="59"/>
      <c r="C1" s="1"/>
      <c r="D1" s="59" t="s">
        <v>1</v>
      </c>
      <c r="E1" s="59"/>
      <c r="G1" s="59" t="s">
        <v>2</v>
      </c>
      <c r="H1" s="59"/>
    </row>
    <row r="2" spans="1:8">
      <c r="A2" s="15" t="s">
        <v>3</v>
      </c>
      <c r="B2" s="15" t="s">
        <v>4</v>
      </c>
      <c r="C2" s="1"/>
      <c r="D2" s="2" t="s">
        <v>1</v>
      </c>
      <c r="E2" s="2" t="s">
        <v>4</v>
      </c>
      <c r="G2" s="2" t="s">
        <v>5</v>
      </c>
      <c r="H2" s="2" t="s">
        <v>4</v>
      </c>
    </row>
    <row r="3" spans="1:8">
      <c r="A3" s="3" t="s">
        <v>6</v>
      </c>
      <c r="B3" s="3" t="s">
        <v>7</v>
      </c>
      <c r="D3" s="3" t="s">
        <v>8</v>
      </c>
      <c r="E3" s="3" t="s">
        <v>9</v>
      </c>
      <c r="G3" s="3" t="s">
        <v>10</v>
      </c>
      <c r="H3" s="3" t="s">
        <v>11</v>
      </c>
    </row>
    <row r="4" spans="1:8">
      <c r="A4" s="3" t="s">
        <v>12</v>
      </c>
      <c r="B4" s="3" t="s">
        <v>13</v>
      </c>
      <c r="D4" s="3" t="s">
        <v>14</v>
      </c>
      <c r="E4" s="3" t="s">
        <v>15</v>
      </c>
      <c r="G4" s="3" t="s">
        <v>16</v>
      </c>
      <c r="H4" s="3" t="s">
        <v>17</v>
      </c>
    </row>
    <row r="5" spans="1:8">
      <c r="A5" s="3" t="s">
        <v>18</v>
      </c>
      <c r="B5" s="3" t="s">
        <v>19</v>
      </c>
      <c r="G5" s="3" t="s">
        <v>20</v>
      </c>
      <c r="H5" s="3" t="s">
        <v>21</v>
      </c>
    </row>
    <row r="6" spans="1:8">
      <c r="A6" s="3" t="s">
        <v>22</v>
      </c>
      <c r="B6" s="3" t="s">
        <v>23</v>
      </c>
      <c r="G6" s="3" t="s">
        <v>24</v>
      </c>
      <c r="H6" s="3" t="s">
        <v>25</v>
      </c>
    </row>
    <row r="7" spans="1:8">
      <c r="A7" s="3" t="s">
        <v>26</v>
      </c>
      <c r="B7" s="3" t="s">
        <v>27</v>
      </c>
      <c r="G7" s="3" t="s">
        <v>28</v>
      </c>
      <c r="H7" s="3" t="s">
        <v>29</v>
      </c>
    </row>
    <row r="8" spans="1:8">
      <c r="A8" s="3" t="s">
        <v>30</v>
      </c>
      <c r="B8" s="3" t="s">
        <v>31</v>
      </c>
      <c r="G8" s="3" t="s">
        <v>32</v>
      </c>
      <c r="H8" s="3" t="s">
        <v>33</v>
      </c>
    </row>
    <row r="9" spans="1:8">
      <c r="G9" s="3" t="s">
        <v>34</v>
      </c>
      <c r="H9" s="3" t="s">
        <v>35</v>
      </c>
    </row>
    <row r="10" spans="1:8">
      <c r="G10" s="3" t="s">
        <v>36</v>
      </c>
      <c r="H10" s="3" t="s">
        <v>37</v>
      </c>
    </row>
    <row r="11" spans="1:8">
      <c r="G11" s="3" t="s">
        <v>38</v>
      </c>
      <c r="H11" s="3" t="s">
        <v>39</v>
      </c>
    </row>
    <row r="12" spans="1:8">
      <c r="G12" s="3" t="s">
        <v>40</v>
      </c>
      <c r="H12" s="3" t="s">
        <v>41</v>
      </c>
    </row>
    <row r="13" spans="1:8">
      <c r="G13" s="3" t="s">
        <v>42</v>
      </c>
      <c r="H13" s="3" t="s">
        <v>43</v>
      </c>
    </row>
    <row r="14" spans="1:8">
      <c r="G14" s="3" t="s">
        <v>44</v>
      </c>
      <c r="H14" s="3" t="s">
        <v>45</v>
      </c>
    </row>
    <row r="15" spans="1:8">
      <c r="G15" s="3" t="s">
        <v>46</v>
      </c>
      <c r="H15" s="3" t="s">
        <v>47</v>
      </c>
    </row>
    <row r="16" spans="1:8">
      <c r="G16" s="3" t="s">
        <v>48</v>
      </c>
      <c r="H16" s="3" t="s">
        <v>49</v>
      </c>
    </row>
    <row r="17" spans="7:8">
      <c r="G17" s="56" t="s">
        <v>50</v>
      </c>
      <c r="H17" s="56" t="s">
        <v>51</v>
      </c>
    </row>
    <row r="18" spans="7:8">
      <c r="G18" s="57" t="s">
        <v>52</v>
      </c>
      <c r="H18" s="55" t="s">
        <v>53</v>
      </c>
    </row>
    <row r="20" spans="7:8">
      <c r="H20" s="58"/>
    </row>
  </sheetData>
  <mergeCells count="3">
    <mergeCell ref="A1:B1"/>
    <mergeCell ref="D1:E1"/>
    <mergeCell ref="G1:H1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14"/>
  <sheetViews>
    <sheetView zoomScale="89" zoomScaleNormal="89" workbookViewId="0">
      <pane ySplit="1" topLeftCell="D21" activePane="bottomLeft" state="frozen"/>
      <selection pane="bottomLeft" activeCell="H31" sqref="H31"/>
    </sheetView>
  </sheetViews>
  <sheetFormatPr defaultColWidth="16.5703125" defaultRowHeight="15"/>
  <cols>
    <col min="1" max="1" width="13.140625" style="6" bestFit="1" customWidth="1"/>
    <col min="2" max="2" width="8.7109375" style="7" customWidth="1"/>
    <col min="3" max="3" width="13.42578125" style="11" customWidth="1"/>
    <col min="4" max="4" width="56" style="9" customWidth="1"/>
    <col min="5" max="5" width="12.85546875" style="6" bestFit="1" customWidth="1"/>
    <col min="6" max="6" width="13" style="6" bestFit="1" customWidth="1"/>
    <col min="7" max="7" width="38.28515625" style="10" customWidth="1"/>
    <col min="8" max="8" width="91" style="10" customWidth="1"/>
    <col min="9" max="9" width="90.7109375" style="10" customWidth="1"/>
    <col min="10" max="16384" width="16.5703125" style="4"/>
  </cols>
  <sheetData>
    <row r="1" spans="1:9" ht="30">
      <c r="A1" s="5" t="s">
        <v>2</v>
      </c>
      <c r="B1" s="12" t="s">
        <v>54</v>
      </c>
      <c r="C1" s="13" t="s">
        <v>54</v>
      </c>
      <c r="D1" s="45" t="s">
        <v>55</v>
      </c>
      <c r="E1" s="46" t="s">
        <v>56</v>
      </c>
      <c r="F1" s="14" t="s">
        <v>0</v>
      </c>
      <c r="G1" s="14" t="s">
        <v>57</v>
      </c>
      <c r="H1" s="14" t="s">
        <v>58</v>
      </c>
      <c r="I1" s="14" t="s">
        <v>59</v>
      </c>
    </row>
    <row r="2" spans="1:9">
      <c r="A2" s="6" t="s">
        <v>16</v>
      </c>
      <c r="B2" s="7" t="s">
        <v>60</v>
      </c>
      <c r="C2" s="8" t="str">
        <f t="shared" ref="C2:C29" si="0">RIGHT("0000"&amp;B2,5)</f>
        <v>00001</v>
      </c>
      <c r="D2" s="9" t="str">
        <f>IF(AND(EXACT(LEN(TRIM(H2)),0), EXACT(LEN(TRIM(G2)),0)),"",A2&amp;"_"&amp;VLOOKUP(E2,Valores!$D$3:$E$4,2,FALSE)&amp;"_"&amp;VLOOKUP(F2,Valores!$A$3:$B$8,2,FALSE)&amp;"_"&amp;C2)</f>
        <v>Usuario_USU_EXI_00001</v>
      </c>
      <c r="E2" s="6" t="s">
        <v>8</v>
      </c>
      <c r="F2" s="6" t="s">
        <v>12</v>
      </c>
      <c r="G2" s="10" t="s">
        <v>61</v>
      </c>
      <c r="H2" s="10" t="s">
        <v>62</v>
      </c>
      <c r="I2" s="10" t="s">
        <v>63</v>
      </c>
    </row>
    <row r="3" spans="1:9">
      <c r="A3" s="6" t="s">
        <v>10</v>
      </c>
      <c r="B3" s="7" t="s">
        <v>64</v>
      </c>
      <c r="C3" s="8" t="str">
        <f t="shared" si="0"/>
        <v>00002</v>
      </c>
      <c r="D3" s="9" t="str">
        <f>IF(AND(EXACT(LEN(TRIM(H3)),0), EXACT(LEN(TRIM(G3)),0)),"",A3&amp;"_"&amp;VLOOKUP(E3,Valores!$D$3:$E$4,2,FALSE)&amp;"_"&amp;VLOOKUP(F3,Valores!$A$3:$B$8,2,FALSE)&amp;"_"&amp;C3)</f>
        <v>General_USU_INF_00002</v>
      </c>
      <c r="E3" s="6" t="s">
        <v>8</v>
      </c>
      <c r="F3" s="6" t="s">
        <v>6</v>
      </c>
      <c r="G3" s="10" t="s">
        <v>65</v>
      </c>
      <c r="H3" s="10" t="s">
        <v>66</v>
      </c>
      <c r="I3" s="10" t="s">
        <v>67</v>
      </c>
    </row>
    <row r="4" spans="1:9">
      <c r="A4" s="6" t="s">
        <v>10</v>
      </c>
      <c r="B4" s="7" t="s">
        <v>68</v>
      </c>
      <c r="C4" s="8" t="str">
        <f t="shared" si="0"/>
        <v>00003</v>
      </c>
      <c r="D4" s="9" t="str">
        <f>IF(AND(EXACT(LEN(TRIM(H4)),0), EXACT(LEN(TRIM(G4)),0)),"",A4&amp;"_"&amp;VLOOKUP(E4,Valores!$D$3:$E$4,2,FALSE)&amp;"_"&amp;VLOOKUP(F4,Valores!$A$3:$B$8,2,FALSE)&amp;"_"&amp;C4)</f>
        <v>General_USU_INF_00003</v>
      </c>
      <c r="E4" s="6" t="s">
        <v>8</v>
      </c>
      <c r="F4" s="6" t="s">
        <v>6</v>
      </c>
      <c r="G4" s="10" t="s">
        <v>65</v>
      </c>
      <c r="H4" s="10" t="s">
        <v>69</v>
      </c>
      <c r="I4" s="10" t="s">
        <v>70</v>
      </c>
    </row>
    <row r="5" spans="1:9">
      <c r="A5" s="6" t="s">
        <v>16</v>
      </c>
      <c r="B5" s="7" t="s">
        <v>71</v>
      </c>
      <c r="C5" s="8" t="str">
        <f t="shared" si="0"/>
        <v>00004</v>
      </c>
      <c r="D5" s="9" t="str">
        <f>IF(AND(EXACT(LEN(TRIM(H5)),0), EXACT(LEN(TRIM(G5)),0)),"",A5&amp;"_"&amp;VLOOKUP(E5,Valores!$D$3:$E$4,2,FALSE)&amp;"_"&amp;VLOOKUP(F5,Valores!$A$3:$B$8,2,FALSE)&amp;"_"&amp;C5)</f>
        <v>Usuario_USU_INF_00004</v>
      </c>
      <c r="E5" s="6" t="s">
        <v>8</v>
      </c>
      <c r="F5" s="6" t="s">
        <v>6</v>
      </c>
      <c r="G5" s="10" t="s">
        <v>65</v>
      </c>
      <c r="H5" s="10" t="s">
        <v>72</v>
      </c>
      <c r="I5" s="10" t="s">
        <v>73</v>
      </c>
    </row>
    <row r="6" spans="1:9">
      <c r="A6" s="6" t="s">
        <v>10</v>
      </c>
      <c r="B6" s="7" t="s">
        <v>74</v>
      </c>
      <c r="C6" s="8" t="str">
        <f t="shared" si="0"/>
        <v>00005</v>
      </c>
      <c r="D6" s="9" t="str">
        <f>IF(AND(EXACT(LEN(TRIM(H6)),0), EXACT(LEN(TRIM(G6)),0)),"",A6&amp;"_"&amp;VLOOKUP(E6,Valores!$D$3:$E$4,2,FALSE)&amp;"_"&amp;VLOOKUP(F6,Valores!$A$3:$B$8,2,FALSE)&amp;"_"&amp;C6)</f>
        <v>General_TEC_ERR_00005</v>
      </c>
      <c r="E6" s="6" t="s">
        <v>14</v>
      </c>
      <c r="F6" s="6" t="s">
        <v>26</v>
      </c>
      <c r="G6" s="10" t="s">
        <v>75</v>
      </c>
      <c r="H6" s="10" t="s">
        <v>76</v>
      </c>
      <c r="I6" s="10" t="s">
        <v>77</v>
      </c>
    </row>
    <row r="7" spans="1:9">
      <c r="A7" s="6" t="s">
        <v>10</v>
      </c>
      <c r="B7" s="7" t="s">
        <v>78</v>
      </c>
      <c r="C7" s="8" t="str">
        <f t="shared" si="0"/>
        <v>00006</v>
      </c>
      <c r="D7" s="9" t="str">
        <f>IF(AND(EXACT(LEN(TRIM(H7)),0), EXACT(LEN(TRIM(G7)),0)),"",A7&amp;"_"&amp;VLOOKUP(E7,Valores!$D$3:$E$4,2,FALSE)&amp;"_"&amp;VLOOKUP(F7,Valores!$A$3:$B$8,2,FALSE)&amp;"_"&amp;C7)</f>
        <v>General_USU_ERR_00006</v>
      </c>
      <c r="E7" s="6" t="s">
        <v>8</v>
      </c>
      <c r="F7" s="6" t="s">
        <v>26</v>
      </c>
      <c r="G7" s="10" t="s">
        <v>79</v>
      </c>
      <c r="H7" s="10" t="s">
        <v>80</v>
      </c>
      <c r="I7" s="10" t="s">
        <v>81</v>
      </c>
    </row>
    <row r="8" spans="1:9">
      <c r="A8" s="6" t="s">
        <v>10</v>
      </c>
      <c r="B8" s="7" t="s">
        <v>82</v>
      </c>
      <c r="C8" s="8" t="str">
        <f t="shared" si="0"/>
        <v>00007</v>
      </c>
      <c r="D8" s="9" t="str">
        <f>IF(AND(EXACT(LEN(TRIM(H8)),0), EXACT(LEN(TRIM(G8)),0)),"",A8&amp;"_"&amp;VLOOKUP(E8,Valores!$D$3:$E$4,2,FALSE)&amp;"_"&amp;VLOOKUP(F8,Valores!$A$3:$B$8,2,FALSE)&amp;"_"&amp;C8)</f>
        <v>General_USU_ERR_00007</v>
      </c>
      <c r="E8" s="6" t="s">
        <v>8</v>
      </c>
      <c r="F8" s="6" t="s">
        <v>26</v>
      </c>
      <c r="G8" s="10" t="s">
        <v>83</v>
      </c>
      <c r="H8" s="10" t="s">
        <v>84</v>
      </c>
      <c r="I8" s="10" t="s">
        <v>85</v>
      </c>
    </row>
    <row r="9" spans="1:9">
      <c r="A9" s="6" t="s">
        <v>10</v>
      </c>
      <c r="B9" s="7" t="s">
        <v>86</v>
      </c>
      <c r="C9" s="8" t="str">
        <f t="shared" si="0"/>
        <v>00008</v>
      </c>
      <c r="D9" s="9" t="str">
        <f>IF(AND(EXACT(LEN(TRIM(H9)),0), EXACT(LEN(TRIM(G9)),0)),"",A9&amp;"_"&amp;VLOOKUP(E9,Valores!$D$3:$E$4,2,FALSE)&amp;"_"&amp;VLOOKUP(F9,Valores!$A$3:$B$8,2,FALSE)&amp;"_"&amp;C9)</f>
        <v>General_USU_ERR_00008</v>
      </c>
      <c r="E9" s="6" t="s">
        <v>8</v>
      </c>
      <c r="F9" s="6" t="s">
        <v>26</v>
      </c>
      <c r="G9" s="10" t="s">
        <v>87</v>
      </c>
      <c r="H9" s="10" t="s">
        <v>88</v>
      </c>
      <c r="I9" s="10" t="s">
        <v>89</v>
      </c>
    </row>
    <row r="10" spans="1:9" ht="30">
      <c r="A10" s="6" t="s">
        <v>10</v>
      </c>
      <c r="B10" s="7" t="s">
        <v>90</v>
      </c>
      <c r="C10" s="8" t="str">
        <f t="shared" si="0"/>
        <v>00009</v>
      </c>
      <c r="D10" s="9" t="str">
        <f>IF(AND(EXACT(LEN(TRIM(H10)),0), EXACT(LEN(TRIM(G10)),0)),"",A10&amp;"_"&amp;VLOOKUP(E10,Valores!$D$3:$E$4,2,FALSE)&amp;"_"&amp;VLOOKUP(F10,Valores!$A$3:$B$8,2,FALSE)&amp;"_"&amp;C10)</f>
        <v>General_USU_ERR_00009</v>
      </c>
      <c r="E10" s="6" t="s">
        <v>8</v>
      </c>
      <c r="F10" s="6" t="s">
        <v>26</v>
      </c>
      <c r="G10" s="10" t="s">
        <v>91</v>
      </c>
      <c r="H10" s="10" t="s">
        <v>92</v>
      </c>
      <c r="I10" s="10" t="s">
        <v>93</v>
      </c>
    </row>
    <row r="11" spans="1:9">
      <c r="A11" s="6" t="s">
        <v>10</v>
      </c>
      <c r="B11" s="7" t="s">
        <v>94</v>
      </c>
      <c r="C11" s="8" t="str">
        <f t="shared" si="0"/>
        <v>00010</v>
      </c>
      <c r="D11" s="9" t="str">
        <f>IF(AND(EXACT(LEN(TRIM(H11)),0), EXACT(LEN(TRIM(G11)),0)),"",A11&amp;"_"&amp;VLOOKUP(E11,Valores!$D$3:$E$4,2,FALSE)&amp;"_"&amp;VLOOKUP(F11,Valores!$A$3:$B$8,2,FALSE)&amp;"_"&amp;C11)</f>
        <v>General_USU_ERR_00010</v>
      </c>
      <c r="E11" s="6" t="s">
        <v>8</v>
      </c>
      <c r="F11" s="6" t="s">
        <v>26</v>
      </c>
      <c r="G11" s="10" t="s">
        <v>91</v>
      </c>
      <c r="H11" s="10" t="s">
        <v>95</v>
      </c>
      <c r="I11" s="10" t="s">
        <v>96</v>
      </c>
    </row>
    <row r="12" spans="1:9">
      <c r="A12" s="6" t="s">
        <v>10</v>
      </c>
      <c r="B12" s="7" t="s">
        <v>97</v>
      </c>
      <c r="C12" s="8" t="str">
        <f t="shared" si="0"/>
        <v>00011</v>
      </c>
      <c r="D12" s="9" t="str">
        <f>IF(AND(EXACT(LEN(TRIM(H12)),0), EXACT(LEN(TRIM(G12)),0)),"",A12&amp;"_"&amp;VLOOKUP(E12,Valores!$D$3:$E$4,2,FALSE)&amp;"_"&amp;VLOOKUP(F12,Valores!$A$3:$B$8,2,FALSE)&amp;"_"&amp;C12)</f>
        <v>General_USU_ERR_00011</v>
      </c>
      <c r="E12" s="6" t="s">
        <v>8</v>
      </c>
      <c r="F12" s="6" t="s">
        <v>26</v>
      </c>
      <c r="G12" s="10" t="s">
        <v>98</v>
      </c>
      <c r="H12" s="10" t="s">
        <v>99</v>
      </c>
      <c r="I12" s="10" t="s">
        <v>100</v>
      </c>
    </row>
    <row r="13" spans="1:9">
      <c r="A13" s="6" t="s">
        <v>16</v>
      </c>
      <c r="B13" s="7" t="s">
        <v>101</v>
      </c>
      <c r="C13" s="8" t="str">
        <f t="shared" si="0"/>
        <v>00012</v>
      </c>
      <c r="D13" s="9" t="str">
        <f>IF(AND(EXACT(LEN(TRIM(H13)),0), EXACT(LEN(TRIM(G13)),0)),"",A13&amp;"_"&amp;VLOOKUP(E13,Valores!$D$3:$E$4,2,FALSE)&amp;"_"&amp;VLOOKUP(F13,Valores!$A$3:$B$8,2,FALSE)&amp;"_"&amp;C13)</f>
        <v>Usuario_USU_ERR_00012</v>
      </c>
      <c r="E13" s="6" t="s">
        <v>8</v>
      </c>
      <c r="F13" s="6" t="s">
        <v>26</v>
      </c>
      <c r="G13" s="10" t="s">
        <v>102</v>
      </c>
      <c r="H13" s="10" t="s">
        <v>103</v>
      </c>
      <c r="I13" s="10" t="s">
        <v>104</v>
      </c>
    </row>
    <row r="14" spans="1:9">
      <c r="A14" s="6" t="s">
        <v>16</v>
      </c>
      <c r="B14" s="7" t="s">
        <v>105</v>
      </c>
      <c r="C14" s="8" t="str">
        <f t="shared" si="0"/>
        <v>00013</v>
      </c>
      <c r="D14" s="9" t="str">
        <f>IF(AND(EXACT(LEN(TRIM(H14)),0), EXACT(LEN(TRIM(G14)),0)),"",A14&amp;"_"&amp;VLOOKUP(E14,Valores!$D$3:$E$4,2,FALSE)&amp;"_"&amp;VLOOKUP(F14,Valores!$A$3:$B$8,2,FALSE)&amp;"_"&amp;C14)</f>
        <v>Usuario_USU_ERR_00013</v>
      </c>
      <c r="E14" s="6" t="s">
        <v>8</v>
      </c>
      <c r="F14" s="6" t="s">
        <v>26</v>
      </c>
      <c r="G14" s="10" t="s">
        <v>106</v>
      </c>
      <c r="H14" s="10" t="s">
        <v>107</v>
      </c>
      <c r="I14" s="10" t="s">
        <v>108</v>
      </c>
    </row>
    <row r="15" spans="1:9">
      <c r="A15" s="6" t="s">
        <v>16</v>
      </c>
      <c r="B15" s="7" t="s">
        <v>109</v>
      </c>
      <c r="C15" s="8" t="str">
        <f t="shared" si="0"/>
        <v>00014</v>
      </c>
      <c r="D15" s="9" t="str">
        <f>IF(AND(EXACT(LEN(TRIM(H15)),0), EXACT(LEN(TRIM(G15)),0)),"",A15&amp;"_"&amp;VLOOKUP(E15,Valores!$D$3:$E$4,2,FALSE)&amp;"_"&amp;VLOOKUP(F15,Valores!$A$3:$B$8,2,FALSE)&amp;"_"&amp;C15)</f>
        <v>Usuario_USU_INF_00014</v>
      </c>
      <c r="E15" s="6" t="s">
        <v>8</v>
      </c>
      <c r="F15" s="6" t="s">
        <v>6</v>
      </c>
      <c r="G15" s="10" t="s">
        <v>110</v>
      </c>
      <c r="H15" s="10" t="s">
        <v>111</v>
      </c>
      <c r="I15" s="10" t="s">
        <v>112</v>
      </c>
    </row>
    <row r="16" spans="1:9">
      <c r="A16" s="6" t="s">
        <v>16</v>
      </c>
      <c r="B16" s="7" t="s">
        <v>113</v>
      </c>
      <c r="C16" s="8" t="str">
        <f t="shared" si="0"/>
        <v>00015</v>
      </c>
      <c r="D16" s="9" t="str">
        <f>IF(AND(EXACT(LEN(TRIM(H16)),0), EXACT(LEN(TRIM(G16)),0)),"",A16&amp;"_"&amp;VLOOKUP(E16,Valores!$D$3:$E$4,2,FALSE)&amp;"_"&amp;VLOOKUP(F16,Valores!$A$3:$B$8,2,FALSE)&amp;"_"&amp;C16)</f>
        <v>Usuario_USU_ERR_00015</v>
      </c>
      <c r="E16" s="6" t="s">
        <v>8</v>
      </c>
      <c r="F16" s="6" t="s">
        <v>26</v>
      </c>
      <c r="G16" s="10" t="s">
        <v>114</v>
      </c>
      <c r="H16" s="10" t="s">
        <v>115</v>
      </c>
      <c r="I16" s="10" t="s">
        <v>116</v>
      </c>
    </row>
    <row r="17" spans="1:9">
      <c r="A17" s="6" t="s">
        <v>16</v>
      </c>
      <c r="B17" s="7" t="s">
        <v>117</v>
      </c>
      <c r="C17" s="8" t="str">
        <f t="shared" si="0"/>
        <v>00016</v>
      </c>
      <c r="D17" s="9" t="str">
        <f>IF(AND(EXACT(LEN(TRIM(H17)),0), EXACT(LEN(TRIM(G17)),0)),"",A17&amp;"_"&amp;VLOOKUP(E17,Valores!$D$3:$E$4,2,FALSE)&amp;"_"&amp;VLOOKUP(F17,Valores!$A$3:$B$8,2,FALSE)&amp;"_"&amp;C17)</f>
        <v>Usuario_USU_ADV_00016</v>
      </c>
      <c r="E17" s="6" t="s">
        <v>8</v>
      </c>
      <c r="F17" s="6" t="s">
        <v>18</v>
      </c>
      <c r="G17" s="10" t="s">
        <v>118</v>
      </c>
      <c r="H17" s="10" t="s">
        <v>119</v>
      </c>
      <c r="I17" s="10" t="s">
        <v>120</v>
      </c>
    </row>
    <row r="18" spans="1:9">
      <c r="A18" s="6" t="s">
        <v>10</v>
      </c>
      <c r="B18" s="7" t="s">
        <v>121</v>
      </c>
      <c r="C18" s="8" t="str">
        <f t="shared" si="0"/>
        <v>00017</v>
      </c>
      <c r="D18" s="9" t="str">
        <f>IF(AND(EXACT(LEN(TRIM(H18)),0), EXACT(LEN(TRIM(G18)),0)),"",A18&amp;"_"&amp;VLOOKUP(E18,Valores!$D$3:$E$4,2,FALSE)&amp;"_"&amp;VLOOKUP(F18,Valores!$A$3:$B$8,2,FALSE)&amp;"_"&amp;C18)</f>
        <v>General_USU_INF_00017</v>
      </c>
      <c r="E18" s="6" t="s">
        <v>8</v>
      </c>
      <c r="F18" s="6" t="s">
        <v>6</v>
      </c>
      <c r="G18" s="10" t="s">
        <v>122</v>
      </c>
      <c r="H18" s="10" t="s">
        <v>123</v>
      </c>
      <c r="I18" s="10" t="s">
        <v>112</v>
      </c>
    </row>
    <row r="19" spans="1:9">
      <c r="A19" s="6" t="s">
        <v>10</v>
      </c>
      <c r="B19" s="7" t="s">
        <v>124</v>
      </c>
      <c r="C19" s="8" t="str">
        <f t="shared" si="0"/>
        <v>00018</v>
      </c>
      <c r="D19" s="9" t="str">
        <f>IF(AND(EXACT(LEN(TRIM(H19)),0), EXACT(LEN(TRIM(G19)),0)),"",A19&amp;"_"&amp;VLOOKUP(E19,Valores!$D$3:$E$4,2,FALSE)&amp;"_"&amp;VLOOKUP(F19,Valores!$A$3:$B$8,2,FALSE)&amp;"_"&amp;C19)</f>
        <v>General_USU_INF_00018</v>
      </c>
      <c r="E19" s="6" t="s">
        <v>8</v>
      </c>
      <c r="F19" s="6" t="s">
        <v>6</v>
      </c>
      <c r="G19" s="10" t="s">
        <v>125</v>
      </c>
      <c r="H19" s="10" t="s">
        <v>126</v>
      </c>
      <c r="I19" s="10" t="s">
        <v>127</v>
      </c>
    </row>
    <row r="20" spans="1:9">
      <c r="A20" s="6" t="s">
        <v>10</v>
      </c>
      <c r="B20" s="7" t="s">
        <v>128</v>
      </c>
      <c r="C20" s="8" t="str">
        <f t="shared" si="0"/>
        <v>00019</v>
      </c>
      <c r="D20" s="9" t="str">
        <f>IF(AND(EXACT(LEN(TRIM(H20)),0), EXACT(LEN(TRIM(G20)),0)),"",A20&amp;"_"&amp;VLOOKUP(E20,Valores!$D$3:$E$4,2,FALSE)&amp;"_"&amp;VLOOKUP(F20,Valores!$A$3:$B$8,2,FALSE)&amp;"_"&amp;C20)</f>
        <v>General_TEC_ERR_00019</v>
      </c>
      <c r="E20" s="6" t="s">
        <v>14</v>
      </c>
      <c r="F20" s="6" t="s">
        <v>26</v>
      </c>
      <c r="G20" s="10" t="s">
        <v>129</v>
      </c>
      <c r="H20" s="10" t="s">
        <v>130</v>
      </c>
      <c r="I20" s="10" t="s">
        <v>116</v>
      </c>
    </row>
    <row r="21" spans="1:9">
      <c r="A21" s="6" t="s">
        <v>16</v>
      </c>
      <c r="B21" s="7" t="s">
        <v>131</v>
      </c>
      <c r="C21" s="8" t="str">
        <f t="shared" si="0"/>
        <v>00020</v>
      </c>
      <c r="D21" s="9" t="str">
        <f>IF(AND(EXACT(LEN(TRIM(H21)),0), EXACT(LEN(TRIM(G21)),0)),"",A21&amp;"_"&amp;VLOOKUP(E21,Valores!$D$3:$E$4,2,FALSE)&amp;"_"&amp;VLOOKUP(F21,Valores!$A$3:$B$8,2,FALSE)&amp;"_"&amp;C21)</f>
        <v>Usuario_USU_EXI_00020</v>
      </c>
      <c r="E21" s="6" t="s">
        <v>8</v>
      </c>
      <c r="F21" s="6" t="s">
        <v>12</v>
      </c>
      <c r="G21" s="47" t="s">
        <v>132</v>
      </c>
      <c r="H21" s="47" t="s">
        <v>133</v>
      </c>
      <c r="I21" s="47" t="s">
        <v>73</v>
      </c>
    </row>
    <row r="22" spans="1:9">
      <c r="A22" s="6" t="s">
        <v>16</v>
      </c>
      <c r="B22" s="7" t="s">
        <v>134</v>
      </c>
      <c r="C22" s="8" t="str">
        <f t="shared" si="0"/>
        <v>00021</v>
      </c>
      <c r="D22" s="9" t="str">
        <f>IF(AND(EXACT(LEN(TRIM(H22)),0), EXACT(LEN(TRIM(G22)),0)),"",A22&amp;"_"&amp;VLOOKUP(E22,Valores!$D$3:$E$4,2,FALSE)&amp;"_"&amp;VLOOKUP(F22,Valores!$A$3:$B$8,2,FALSE)&amp;"_"&amp;C22)</f>
        <v>Usuario_USU_EXI_00021</v>
      </c>
      <c r="E22" s="6" t="s">
        <v>8</v>
      </c>
      <c r="F22" s="6" t="s">
        <v>12</v>
      </c>
      <c r="G22" s="47" t="s">
        <v>135</v>
      </c>
      <c r="H22" s="47" t="s">
        <v>136</v>
      </c>
      <c r="I22" s="47" t="s">
        <v>137</v>
      </c>
    </row>
    <row r="23" spans="1:9">
      <c r="A23" s="6" t="s">
        <v>16</v>
      </c>
      <c r="B23" s="7" t="s">
        <v>138</v>
      </c>
      <c r="C23" s="8" t="str">
        <f t="shared" si="0"/>
        <v>00022</v>
      </c>
      <c r="D23" s="9" t="str">
        <f>IF(AND(EXACT(LEN(TRIM(H23)),0), EXACT(LEN(TRIM(G23)),0)),"",A23&amp;"_"&amp;VLOOKUP(E23,Valores!$D$3:$E$4,2,FALSE)&amp;"_"&amp;VLOOKUP(F23,Valores!$A$3:$B$8,2,FALSE)&amp;"_"&amp;C23)</f>
        <v>Usuario_USU_EXI_00022</v>
      </c>
      <c r="E23" s="6" t="s">
        <v>8</v>
      </c>
      <c r="F23" s="6" t="s">
        <v>12</v>
      </c>
      <c r="G23" s="47" t="s">
        <v>139</v>
      </c>
      <c r="H23" s="47" t="s">
        <v>140</v>
      </c>
      <c r="I23" s="47" t="s">
        <v>141</v>
      </c>
    </row>
    <row r="24" spans="1:9">
      <c r="A24" s="6" t="s">
        <v>16</v>
      </c>
      <c r="B24" s="7" t="s">
        <v>142</v>
      </c>
      <c r="C24" s="8" t="str">
        <f t="shared" si="0"/>
        <v>00023</v>
      </c>
      <c r="D24" s="9" t="str">
        <f>IF(AND(EXACT(LEN(TRIM(H24)),0), EXACT(LEN(TRIM(G24)),0)),"",A24&amp;"_"&amp;VLOOKUP(E24,Valores!$D$3:$E$4,2,FALSE)&amp;"_"&amp;VLOOKUP(F24,Valores!$A$3:$B$8,2,FALSE)&amp;"_"&amp;C24)</f>
        <v>Usuario_USU_ERR_00023</v>
      </c>
      <c r="E24" s="6" t="s">
        <v>8</v>
      </c>
      <c r="F24" s="6" t="s">
        <v>26</v>
      </c>
      <c r="G24" s="47" t="s">
        <v>65</v>
      </c>
      <c r="H24" s="47" t="s">
        <v>143</v>
      </c>
      <c r="I24" s="47" t="s">
        <v>144</v>
      </c>
    </row>
    <row r="25" spans="1:9">
      <c r="A25" s="6" t="s">
        <v>20</v>
      </c>
      <c r="B25" s="7" t="s">
        <v>145</v>
      </c>
      <c r="C25" s="8" t="str">
        <f t="shared" si="0"/>
        <v>00024</v>
      </c>
      <c r="D25" s="9" t="str">
        <f>IF(AND(EXACT(LEN(TRIM(H25)),0), EXACT(LEN(TRIM(G25)),0)),"",A25&amp;"_"&amp;VLOOKUP(E25,Valores!$D$3:$E$4,2,FALSE)&amp;"_"&amp;VLOOKUP(F25,Valores!$A$3:$B$8,2,FALSE)&amp;"_"&amp;C25)</f>
        <v>Login_USU_EXI_00024</v>
      </c>
      <c r="E25" s="6" t="s">
        <v>8</v>
      </c>
      <c r="F25" s="6" t="s">
        <v>12</v>
      </c>
      <c r="G25" s="47" t="s">
        <v>146</v>
      </c>
      <c r="H25" s="47" t="s">
        <v>147</v>
      </c>
      <c r="I25" s="49" t="s">
        <v>73</v>
      </c>
    </row>
    <row r="26" spans="1:9">
      <c r="A26" s="6" t="s">
        <v>20</v>
      </c>
      <c r="B26" s="7" t="s">
        <v>148</v>
      </c>
      <c r="C26" s="8" t="str">
        <f t="shared" si="0"/>
        <v>00025</v>
      </c>
      <c r="D26" s="9" t="str">
        <f>IF(AND(EXACT(LEN(TRIM(H26)),0), EXACT(LEN(TRIM(G26)),0)),"",A26&amp;"_"&amp;VLOOKUP(E26,Valores!$D$3:$E$4,2,FALSE)&amp;"_"&amp;VLOOKUP(F26,Valores!$A$3:$B$8,2,FALSE)&amp;"_"&amp;C26)</f>
        <v>Login_USU_ERR_00025</v>
      </c>
      <c r="E26" s="6" t="s">
        <v>8</v>
      </c>
      <c r="F26" s="6" t="s">
        <v>26</v>
      </c>
      <c r="G26" s="47" t="s">
        <v>149</v>
      </c>
      <c r="H26" s="47" t="s">
        <v>150</v>
      </c>
      <c r="I26" s="49" t="s">
        <v>73</v>
      </c>
    </row>
    <row r="27" spans="1:9">
      <c r="A27" s="6" t="s">
        <v>20</v>
      </c>
      <c r="B27" s="7" t="s">
        <v>151</v>
      </c>
      <c r="C27" s="8" t="str">
        <f t="shared" si="0"/>
        <v>00026</v>
      </c>
      <c r="D27" s="9" t="str">
        <f>IF(AND(EXACT(LEN(TRIM(H27)),0), EXACT(LEN(TRIM(G27)),0)),"",A27&amp;"_"&amp;VLOOKUP(E27,Valores!$D$3:$E$4,2,FALSE)&amp;"_"&amp;VLOOKUP(F27,Valores!$A$3:$B$8,2,FALSE)&amp;"_"&amp;C27)</f>
        <v>Login_USU_ERR_00026</v>
      </c>
      <c r="E27" s="6" t="s">
        <v>8</v>
      </c>
      <c r="F27" s="6" t="s">
        <v>26</v>
      </c>
      <c r="G27" s="47" t="s">
        <v>152</v>
      </c>
      <c r="H27" s="47" t="s">
        <v>153</v>
      </c>
      <c r="I27" s="49" t="s">
        <v>154</v>
      </c>
    </row>
    <row r="28" spans="1:9">
      <c r="A28" s="6" t="s">
        <v>20</v>
      </c>
      <c r="B28" s="7" t="s">
        <v>155</v>
      </c>
      <c r="C28" s="8" t="str">
        <f t="shared" si="0"/>
        <v>00027</v>
      </c>
      <c r="D28" s="9" t="str">
        <f>IF(AND(EXACT(LEN(TRIM(H28)),0), EXACT(LEN(TRIM(G28)),0)),"",A28&amp;"_"&amp;VLOOKUP(E28,Valores!$D$3:$E$4,2,FALSE)&amp;"_"&amp;VLOOKUP(F28,Valores!$A$3:$B$8,2,FALSE)&amp;"_"&amp;C28)</f>
        <v>Login_USU_ERR_00027</v>
      </c>
      <c r="E28" s="6" t="s">
        <v>8</v>
      </c>
      <c r="F28" s="6" t="s">
        <v>26</v>
      </c>
      <c r="G28" s="47" t="s">
        <v>156</v>
      </c>
      <c r="H28" s="47" t="s">
        <v>157</v>
      </c>
      <c r="I28" s="49" t="s">
        <v>154</v>
      </c>
    </row>
    <row r="29" spans="1:9">
      <c r="A29" s="6" t="s">
        <v>20</v>
      </c>
      <c r="B29" s="7" t="s">
        <v>158</v>
      </c>
      <c r="C29" s="8" t="str">
        <f t="shared" si="0"/>
        <v>00028</v>
      </c>
      <c r="D29" s="9" t="str">
        <f>IF(AND(EXACT(LEN(TRIM(H29)),0), EXACT(LEN(TRIM(G29)),0)),"",A29&amp;"_"&amp;VLOOKUP(E29,Valores!$D$3:$E$4,2,FALSE)&amp;"_"&amp;VLOOKUP(F29,Valores!$A$3:$B$8,2,FALSE)&amp;"_"&amp;C29)</f>
        <v>Login_USU_INF_00028</v>
      </c>
      <c r="E29" s="6" t="s">
        <v>8</v>
      </c>
      <c r="F29" s="6" t="s">
        <v>6</v>
      </c>
      <c r="G29" s="47" t="s">
        <v>159</v>
      </c>
      <c r="H29" s="47" t="s">
        <v>160</v>
      </c>
      <c r="I29" s="49" t="s">
        <v>161</v>
      </c>
    </row>
    <row r="30" spans="1:9">
      <c r="C30" s="8"/>
    </row>
    <row r="31" spans="1:9">
      <c r="C31" s="8"/>
      <c r="H31" s="61"/>
    </row>
    <row r="32" spans="1:9">
      <c r="C32" s="8"/>
      <c r="H32" s="61"/>
    </row>
    <row r="33" spans="3:3">
      <c r="C33" s="8"/>
    </row>
    <row r="34" spans="3:3">
      <c r="C34" s="8"/>
    </row>
    <row r="35" spans="3:3">
      <c r="C35" s="8"/>
    </row>
    <row r="36" spans="3:3">
      <c r="C36" s="8"/>
    </row>
    <row r="37" spans="3:3">
      <c r="C37" s="8"/>
    </row>
    <row r="38" spans="3:3">
      <c r="C38" s="8"/>
    </row>
    <row r="39" spans="3:3">
      <c r="C39" s="8"/>
    </row>
    <row r="40" spans="3:3">
      <c r="C40" s="8"/>
    </row>
    <row r="41" spans="3:3">
      <c r="C41" s="8"/>
    </row>
    <row r="42" spans="3:3">
      <c r="C42" s="8"/>
    </row>
    <row r="43" spans="3:3">
      <c r="C43" s="8"/>
    </row>
    <row r="44" spans="3:3">
      <c r="C44" s="8"/>
    </row>
    <row r="45" spans="3:3">
      <c r="C45" s="8"/>
    </row>
    <row r="46" spans="3:3">
      <c r="C46" s="8"/>
    </row>
    <row r="47" spans="3:3">
      <c r="C47" s="8"/>
    </row>
    <row r="48" spans="3:3">
      <c r="C48" s="8"/>
    </row>
    <row r="49" spans="3:7">
      <c r="C49" s="8"/>
    </row>
    <row r="50" spans="3:7">
      <c r="C50" s="8"/>
    </row>
    <row r="51" spans="3:7">
      <c r="C51" s="8"/>
    </row>
    <row r="52" spans="3:7">
      <c r="C52" s="8"/>
    </row>
    <row r="53" spans="3:7">
      <c r="C53" s="8"/>
    </row>
    <row r="54" spans="3:7">
      <c r="C54" s="8"/>
    </row>
    <row r="55" spans="3:7">
      <c r="C55" s="8"/>
    </row>
    <row r="56" spans="3:7">
      <c r="C56" s="8"/>
    </row>
    <row r="57" spans="3:7">
      <c r="C57" s="8"/>
    </row>
    <row r="58" spans="3:7">
      <c r="C58" s="8"/>
    </row>
    <row r="59" spans="3:7">
      <c r="C59" s="8"/>
    </row>
    <row r="60" spans="3:7">
      <c r="C60" s="8"/>
    </row>
    <row r="61" spans="3:7">
      <c r="C61" s="8"/>
    </row>
    <row r="62" spans="3:7">
      <c r="C62" s="8"/>
    </row>
    <row r="63" spans="3:7">
      <c r="C63" s="8"/>
    </row>
    <row r="64" spans="3:7">
      <c r="C64" s="8"/>
    </row>
    <row r="65" spans="3:7">
      <c r="C65" s="8"/>
    </row>
    <row r="66" spans="3:7">
      <c r="C66" s="8"/>
    </row>
    <row r="67" spans="3:7">
      <c r="C67" s="8"/>
    </row>
    <row r="68" spans="3:7">
      <c r="C68" s="8"/>
    </row>
    <row r="69" spans="3:7">
      <c r="C69" s="8"/>
    </row>
    <row r="70" spans="3:7">
      <c r="C70" s="8"/>
    </row>
    <row r="71" spans="3:7">
      <c r="C71" s="8"/>
    </row>
    <row r="72" spans="3:7">
      <c r="C72" s="8"/>
    </row>
    <row r="73" spans="3:7">
      <c r="C73" s="8"/>
    </row>
    <row r="74" spans="3:7">
      <c r="C74" s="8"/>
    </row>
    <row r="75" spans="3:7">
      <c r="C75" s="8"/>
    </row>
    <row r="76" spans="3:7">
      <c r="C76" s="8"/>
    </row>
    <row r="77" spans="3:7">
      <c r="C77" s="8"/>
    </row>
    <row r="78" spans="3:7">
      <c r="C78" s="8"/>
    </row>
    <row r="79" spans="3:7">
      <c r="C79" s="8"/>
    </row>
    <row r="80" spans="3:7">
      <c r="C80" s="8"/>
    </row>
    <row r="81" spans="3:7">
      <c r="C81" s="8"/>
    </row>
    <row r="82" spans="3:7">
      <c r="C82" s="8"/>
    </row>
    <row r="83" spans="3:7">
      <c r="C83" s="8"/>
    </row>
    <row r="84" spans="3:7">
      <c r="C84" s="8"/>
    </row>
    <row r="85" spans="3:7">
      <c r="C85" s="8"/>
    </row>
    <row r="86" spans="3:7">
      <c r="C86" s="8"/>
    </row>
    <row r="87" spans="3:7">
      <c r="C87" s="8"/>
    </row>
    <row r="88" spans="3:7">
      <c r="C88" s="8"/>
    </row>
    <row r="89" spans="3:7">
      <c r="C89" s="8"/>
    </row>
    <row r="90" spans="3:7">
      <c r="C90" s="8"/>
    </row>
    <row r="91" spans="3:7">
      <c r="C91" s="8"/>
    </row>
    <row r="92" spans="3:7">
      <c r="C92" s="8"/>
    </row>
    <row r="93" spans="3:7">
      <c r="C93" s="8"/>
    </row>
    <row r="94" spans="3:7">
      <c r="C94" s="8"/>
    </row>
    <row r="95" spans="3:7">
      <c r="C95" s="8"/>
    </row>
    <row r="96" spans="3:7">
      <c r="C96" s="8"/>
    </row>
    <row r="97" spans="3:3">
      <c r="C97" s="8"/>
    </row>
    <row r="98" spans="3:3">
      <c r="C98" s="8"/>
    </row>
    <row r="99" spans="3:3">
      <c r="C99" s="8"/>
    </row>
    <row r="100" spans="3:3">
      <c r="C100" s="8"/>
    </row>
    <row r="101" spans="3:3">
      <c r="C101" s="8"/>
    </row>
    <row r="102" spans="3:3">
      <c r="C102" s="8"/>
    </row>
    <row r="103" spans="3:3">
      <c r="C103" s="8"/>
    </row>
    <row r="104" spans="3:3">
      <c r="C104" s="8"/>
    </row>
    <row r="105" spans="3:3">
      <c r="C105" s="8"/>
    </row>
    <row r="106" spans="3:3">
      <c r="C106" s="8"/>
    </row>
    <row r="107" spans="3:3">
      <c r="C107" s="8"/>
    </row>
    <row r="108" spans="3:3">
      <c r="C108" s="8"/>
    </row>
    <row r="109" spans="3:3">
      <c r="C109" s="8"/>
    </row>
    <row r="110" spans="3:3">
      <c r="C110" s="8"/>
    </row>
    <row r="111" spans="3:3">
      <c r="C111" s="8"/>
    </row>
    <row r="112" spans="3:3">
      <c r="C112" s="8"/>
    </row>
    <row r="113" spans="3:3">
      <c r="C113" s="8"/>
    </row>
    <row r="114" spans="3:3">
      <c r="C114" s="8"/>
    </row>
    <row r="115" spans="3:3">
      <c r="C115" s="8"/>
    </row>
    <row r="116" spans="3:3">
      <c r="C116" s="8"/>
    </row>
    <row r="117" spans="3:3">
      <c r="C117" s="8"/>
    </row>
    <row r="118" spans="3:3">
      <c r="C118" s="8"/>
    </row>
    <row r="119" spans="3:3">
      <c r="C119" s="8"/>
    </row>
    <row r="120" spans="3:3">
      <c r="C120" s="8"/>
    </row>
    <row r="121" spans="3:3">
      <c r="C121" s="8"/>
    </row>
    <row r="122" spans="3:3">
      <c r="C122" s="8"/>
    </row>
    <row r="123" spans="3:3">
      <c r="C123" s="8"/>
    </row>
    <row r="124" spans="3:3">
      <c r="C124" s="8"/>
    </row>
    <row r="125" spans="3:3">
      <c r="C125" s="8"/>
    </row>
    <row r="126" spans="3:3">
      <c r="C126" s="8"/>
    </row>
    <row r="127" spans="3:3">
      <c r="C127" s="8"/>
    </row>
    <row r="128" spans="3:3">
      <c r="C128" s="8"/>
    </row>
    <row r="129" spans="3:9">
      <c r="C129" s="8"/>
    </row>
    <row r="130" spans="3:9">
      <c r="C130" s="8"/>
    </row>
    <row r="131" spans="3:9">
      <c r="C131" s="8"/>
    </row>
    <row r="132" spans="3:9">
      <c r="C132" s="8"/>
    </row>
    <row r="133" spans="3:9">
      <c r="C133" s="8"/>
    </row>
    <row r="134" spans="3:9">
      <c r="C134" s="8"/>
      <c r="I134" s="16"/>
    </row>
    <row r="135" spans="3:9">
      <c r="C135" s="8"/>
    </row>
    <row r="136" spans="3:9">
      <c r="C136" s="8"/>
    </row>
    <row r="137" spans="3:9">
      <c r="C137" s="8"/>
    </row>
    <row r="138" spans="3:9">
      <c r="C138" s="8"/>
    </row>
    <row r="139" spans="3:9">
      <c r="C139" s="8"/>
    </row>
    <row r="140" spans="3:9">
      <c r="C140" s="8"/>
    </row>
    <row r="141" spans="3:9">
      <c r="C141" s="8"/>
    </row>
    <row r="142" spans="3:9">
      <c r="C142" s="8"/>
    </row>
    <row r="143" spans="3:9">
      <c r="C143" s="8"/>
    </row>
    <row r="144" spans="3:9">
      <c r="C144" s="8"/>
    </row>
    <row r="145" spans="3:3">
      <c r="C145" s="8"/>
    </row>
    <row r="146" spans="3:3">
      <c r="C146" s="8"/>
    </row>
    <row r="147" spans="3:3">
      <c r="C147" s="8"/>
    </row>
    <row r="148" spans="3:3">
      <c r="C148" s="8"/>
    </row>
    <row r="149" spans="3:3">
      <c r="C149" s="8"/>
    </row>
    <row r="150" spans="3:3">
      <c r="C150" s="8"/>
    </row>
    <row r="151" spans="3:3">
      <c r="C151" s="8"/>
    </row>
    <row r="152" spans="3:3">
      <c r="C152" s="8"/>
    </row>
    <row r="153" spans="3:3">
      <c r="C153" s="8"/>
    </row>
    <row r="154" spans="3:3">
      <c r="C154" s="8"/>
    </row>
    <row r="155" spans="3:3">
      <c r="C155" s="8"/>
    </row>
    <row r="156" spans="3:3">
      <c r="C156" s="8"/>
    </row>
    <row r="157" spans="3:3">
      <c r="C157" s="8"/>
    </row>
    <row r="158" spans="3:3">
      <c r="C158" s="8"/>
    </row>
    <row r="159" spans="3:3">
      <c r="C159" s="8"/>
    </row>
    <row r="160" spans="3:3">
      <c r="C160" s="8"/>
    </row>
    <row r="161" spans="3:3">
      <c r="C161" s="8"/>
    </row>
    <row r="162" spans="3:3">
      <c r="C162" s="8"/>
    </row>
    <row r="163" spans="3:3">
      <c r="C163" s="8"/>
    </row>
    <row r="164" spans="3:3">
      <c r="C164" s="8"/>
    </row>
    <row r="165" spans="3:3">
      <c r="C165" s="8"/>
    </row>
    <row r="166" spans="3:3">
      <c r="C166" s="8"/>
    </row>
    <row r="167" spans="3:3">
      <c r="C167" s="8"/>
    </row>
    <row r="168" spans="3:3">
      <c r="C168" s="8"/>
    </row>
    <row r="169" spans="3:3">
      <c r="C169" s="8"/>
    </row>
    <row r="170" spans="3:3">
      <c r="C170" s="8"/>
    </row>
    <row r="171" spans="3:3">
      <c r="C171" s="8"/>
    </row>
    <row r="172" spans="3:3">
      <c r="C172" s="8"/>
    </row>
    <row r="173" spans="3:3">
      <c r="C173" s="8"/>
    </row>
    <row r="174" spans="3:3">
      <c r="C174" s="8"/>
    </row>
    <row r="175" spans="3:3">
      <c r="C175" s="8"/>
    </row>
    <row r="176" spans="3:3">
      <c r="C176" s="8"/>
    </row>
    <row r="177" spans="3:3">
      <c r="C177" s="8"/>
    </row>
    <row r="178" spans="3:3">
      <c r="C178" s="8"/>
    </row>
    <row r="179" spans="3:3">
      <c r="C179" s="8"/>
    </row>
    <row r="180" spans="3:3">
      <c r="C180" s="8"/>
    </row>
    <row r="181" spans="3:3">
      <c r="C181" s="8"/>
    </row>
    <row r="182" spans="3:3">
      <c r="C182" s="8"/>
    </row>
    <row r="183" spans="3:3">
      <c r="C183" s="8"/>
    </row>
    <row r="184" spans="3:3">
      <c r="C184" s="8"/>
    </row>
    <row r="185" spans="3:3">
      <c r="C185" s="8"/>
    </row>
    <row r="186" spans="3:3">
      <c r="C186" s="8"/>
    </row>
    <row r="187" spans="3:3">
      <c r="C187" s="8"/>
    </row>
    <row r="188" spans="3:3">
      <c r="C188" s="8"/>
    </row>
    <row r="189" spans="3:3">
      <c r="C189" s="8"/>
    </row>
    <row r="190" spans="3:3">
      <c r="C190" s="8"/>
    </row>
    <row r="191" spans="3:3">
      <c r="C191" s="8"/>
    </row>
    <row r="192" spans="3:3">
      <c r="C192" s="8"/>
    </row>
    <row r="193" spans="3:3">
      <c r="C193" s="8"/>
    </row>
    <row r="194" spans="3:3">
      <c r="C194" s="8"/>
    </row>
    <row r="195" spans="3:3">
      <c r="C195" s="8"/>
    </row>
    <row r="196" spans="3:3">
      <c r="C196" s="8"/>
    </row>
    <row r="197" spans="3:3">
      <c r="C197" s="8"/>
    </row>
    <row r="198" spans="3:3">
      <c r="C198" s="8"/>
    </row>
    <row r="199" spans="3:3">
      <c r="C199" s="8"/>
    </row>
    <row r="200" spans="3:3">
      <c r="C200" s="8"/>
    </row>
    <row r="201" spans="3:3">
      <c r="C201" s="8"/>
    </row>
    <row r="202" spans="3:3">
      <c r="C202" s="8"/>
    </row>
    <row r="203" spans="3:3">
      <c r="C203" s="8"/>
    </row>
    <row r="204" spans="3:3">
      <c r="C204" s="8"/>
    </row>
    <row r="205" spans="3:3">
      <c r="C205" s="8"/>
    </row>
    <row r="206" spans="3:3">
      <c r="C206" s="8"/>
    </row>
    <row r="207" spans="3:3">
      <c r="C207" s="8"/>
    </row>
    <row r="208" spans="3:3">
      <c r="C208" s="8"/>
    </row>
    <row r="209" spans="3:3">
      <c r="C209" s="8"/>
    </row>
    <row r="210" spans="3:3">
      <c r="C210" s="8"/>
    </row>
    <row r="211" spans="3:3">
      <c r="C211" s="8"/>
    </row>
    <row r="212" spans="3:3">
      <c r="C212" s="8"/>
    </row>
    <row r="213" spans="3:3">
      <c r="C213" s="8"/>
    </row>
    <row r="214" spans="3:3">
      <c r="C214" s="8"/>
    </row>
    <row r="215" spans="3:3">
      <c r="C215" s="8"/>
    </row>
    <row r="216" spans="3:3">
      <c r="C216" s="8"/>
    </row>
    <row r="217" spans="3:3">
      <c r="C217" s="8"/>
    </row>
    <row r="218" spans="3:3">
      <c r="C218" s="8"/>
    </row>
    <row r="219" spans="3:3">
      <c r="C219" s="8"/>
    </row>
    <row r="220" spans="3:3">
      <c r="C220" s="8"/>
    </row>
    <row r="221" spans="3:3">
      <c r="C221" s="8"/>
    </row>
    <row r="222" spans="3:3">
      <c r="C222" s="8"/>
    </row>
    <row r="223" spans="3:3">
      <c r="C223" s="8"/>
    </row>
    <row r="224" spans="3:3">
      <c r="C224" s="8"/>
    </row>
    <row r="225" spans="3:3">
      <c r="C225" s="8"/>
    </row>
    <row r="226" spans="3:3">
      <c r="C226" s="8"/>
    </row>
    <row r="227" spans="3:3">
      <c r="C227" s="8"/>
    </row>
    <row r="228" spans="3:3">
      <c r="C228" s="8"/>
    </row>
    <row r="229" spans="3:3">
      <c r="C229" s="8"/>
    </row>
    <row r="230" spans="3:3">
      <c r="C230" s="8"/>
    </row>
    <row r="231" spans="3:3">
      <c r="C231" s="8"/>
    </row>
    <row r="232" spans="3:3">
      <c r="C232" s="8"/>
    </row>
    <row r="233" spans="3:3">
      <c r="C233" s="8"/>
    </row>
    <row r="234" spans="3:3">
      <c r="C234" s="8"/>
    </row>
    <row r="235" spans="3:3">
      <c r="C235" s="8"/>
    </row>
    <row r="236" spans="3:3">
      <c r="C236" s="8"/>
    </row>
    <row r="237" spans="3:3">
      <c r="C237" s="8"/>
    </row>
    <row r="238" spans="3:3">
      <c r="C238" s="8"/>
    </row>
    <row r="239" spans="3:3">
      <c r="C239" s="8"/>
    </row>
    <row r="240" spans="3:3">
      <c r="C240" s="8"/>
    </row>
    <row r="241" spans="3:9">
      <c r="C241" s="8"/>
    </row>
    <row r="242" spans="3:9">
      <c r="C242" s="8"/>
    </row>
    <row r="243" spans="3:9">
      <c r="C243" s="8"/>
    </row>
    <row r="244" spans="3:9">
      <c r="C244" s="8"/>
    </row>
    <row r="245" spans="3:9">
      <c r="C245" s="8"/>
    </row>
    <row r="246" spans="3:9">
      <c r="C246" s="8"/>
    </row>
    <row r="247" spans="3:9">
      <c r="C247" s="8"/>
    </row>
    <row r="248" spans="3:9">
      <c r="C248" s="8"/>
    </row>
    <row r="249" spans="3:9">
      <c r="C249" s="8"/>
      <c r="H249" s="33"/>
      <c r="I249" s="34"/>
    </row>
    <row r="250" spans="3:9">
      <c r="C250" s="8"/>
    </row>
    <row r="251" spans="3:9">
      <c r="C251" s="8"/>
    </row>
    <row r="252" spans="3:9">
      <c r="C252" s="8"/>
    </row>
    <row r="253" spans="3:9">
      <c r="C253" s="8"/>
    </row>
    <row r="254" spans="3:9">
      <c r="C254" s="8"/>
    </row>
    <row r="255" spans="3:9">
      <c r="C255" s="8"/>
    </row>
    <row r="256" spans="3:9">
      <c r="C256" s="8"/>
      <c r="H256" s="33"/>
      <c r="I256" s="19"/>
    </row>
    <row r="257" spans="3:7">
      <c r="C257" s="8"/>
    </row>
    <row r="258" spans="3:7">
      <c r="C258" s="8"/>
    </row>
    <row r="259" spans="3:7">
      <c r="C259" s="8"/>
    </row>
    <row r="260" spans="3:7">
      <c r="C260" s="8"/>
    </row>
    <row r="261" spans="3:7">
      <c r="C261" s="8"/>
    </row>
    <row r="262" spans="3:7">
      <c r="C262" s="8"/>
    </row>
    <row r="263" spans="3:7">
      <c r="C263" s="8"/>
    </row>
    <row r="264" spans="3:7">
      <c r="C264" s="8"/>
    </row>
    <row r="265" spans="3:7">
      <c r="C265" s="8"/>
    </row>
    <row r="266" spans="3:7">
      <c r="C266" s="8"/>
    </row>
    <row r="267" spans="3:7">
      <c r="C267" s="8"/>
    </row>
    <row r="268" spans="3:7">
      <c r="C268" s="8"/>
    </row>
    <row r="269" spans="3:7">
      <c r="C269" s="8"/>
    </row>
    <row r="270" spans="3:7">
      <c r="C270" s="8"/>
    </row>
    <row r="271" spans="3:7">
      <c r="C271" s="8"/>
    </row>
    <row r="272" spans="3:7">
      <c r="C272" s="8"/>
    </row>
    <row r="273" spans="3:3">
      <c r="C273" s="8"/>
    </row>
    <row r="274" spans="3:3">
      <c r="C274" s="8"/>
    </row>
    <row r="275" spans="3:3">
      <c r="C275" s="8"/>
    </row>
    <row r="276" spans="3:3">
      <c r="C276" s="8"/>
    </row>
    <row r="277" spans="3:3">
      <c r="C277" s="8"/>
    </row>
    <row r="278" spans="3:3">
      <c r="C278" s="8"/>
    </row>
    <row r="279" spans="3:3">
      <c r="C279" s="8"/>
    </row>
    <row r="280" spans="3:3">
      <c r="C280" s="8"/>
    </row>
    <row r="281" spans="3:3">
      <c r="C281" s="8"/>
    </row>
    <row r="282" spans="3:3">
      <c r="C282" s="8"/>
    </row>
    <row r="283" spans="3:3">
      <c r="C283" s="8"/>
    </row>
    <row r="284" spans="3:3">
      <c r="C284" s="8"/>
    </row>
    <row r="285" spans="3:3">
      <c r="C285" s="8"/>
    </row>
    <row r="286" spans="3:3">
      <c r="C286" s="8"/>
    </row>
    <row r="287" spans="3:3">
      <c r="C287" s="8"/>
    </row>
    <row r="288" spans="3:3">
      <c r="C288" s="8"/>
    </row>
    <row r="289" spans="3:9">
      <c r="C289" s="8"/>
    </row>
    <row r="290" spans="3:9">
      <c r="C290" s="8"/>
    </row>
    <row r="291" spans="3:9">
      <c r="C291" s="8"/>
    </row>
    <row r="292" spans="3:9">
      <c r="C292" s="8"/>
    </row>
    <row r="293" spans="3:9">
      <c r="C293" s="8"/>
    </row>
    <row r="294" spans="3:9">
      <c r="C294" s="8"/>
    </row>
    <row r="295" spans="3:9">
      <c r="C295" s="8"/>
    </row>
    <row r="296" spans="3:9">
      <c r="C296" s="8"/>
      <c r="D296" s="37"/>
      <c r="E296" s="17"/>
      <c r="F296" s="18"/>
      <c r="G296" s="19"/>
      <c r="H296" s="19"/>
    </row>
    <row r="297" spans="3:9">
      <c r="C297" s="8"/>
      <c r="E297" s="20"/>
      <c r="F297" s="21"/>
      <c r="G297" s="22"/>
      <c r="H297" s="22"/>
    </row>
    <row r="298" spans="3:9">
      <c r="C298" s="8"/>
      <c r="E298" s="17"/>
      <c r="F298" s="18"/>
      <c r="G298" s="19"/>
      <c r="H298" s="19"/>
      <c r="I298" s="19"/>
    </row>
    <row r="299" spans="3:9">
      <c r="C299" s="8"/>
      <c r="E299" s="17"/>
      <c r="F299" s="18"/>
      <c r="G299" s="19"/>
      <c r="H299" s="19"/>
      <c r="I299" s="19"/>
    </row>
    <row r="300" spans="3:9">
      <c r="C300" s="8"/>
      <c r="E300" s="35"/>
      <c r="F300" s="18"/>
      <c r="G300" s="19"/>
      <c r="H300" s="19"/>
      <c r="I300" s="19"/>
    </row>
    <row r="301" spans="3:9">
      <c r="C301" s="8"/>
      <c r="E301" s="17"/>
      <c r="F301" s="18"/>
      <c r="G301" s="19"/>
      <c r="H301" s="19"/>
      <c r="I301" s="19"/>
    </row>
    <row r="302" spans="3:9">
      <c r="C302" s="8"/>
    </row>
    <row r="303" spans="3:9">
      <c r="C303" s="8"/>
    </row>
    <row r="304" spans="3:9">
      <c r="C304" s="8"/>
    </row>
    <row r="305" spans="3:3">
      <c r="C305" s="8"/>
    </row>
    <row r="306" spans="3:3">
      <c r="C306" s="8"/>
    </row>
    <row r="307" spans="3:3">
      <c r="C307" s="8"/>
    </row>
    <row r="308" spans="3:3">
      <c r="C308" s="8"/>
    </row>
    <row r="309" spans="3:3">
      <c r="C309" s="8"/>
    </row>
    <row r="310" spans="3:3">
      <c r="C310" s="8"/>
    </row>
    <row r="311" spans="3:3">
      <c r="C311" s="8"/>
    </row>
    <row r="312" spans="3:3">
      <c r="C312" s="8"/>
    </row>
    <row r="313" spans="3:3">
      <c r="C313" s="8"/>
    </row>
    <row r="314" spans="3:3">
      <c r="C314" s="8"/>
    </row>
    <row r="315" spans="3:3">
      <c r="C315" s="8"/>
    </row>
    <row r="316" spans="3:3">
      <c r="C316" s="8"/>
    </row>
    <row r="317" spans="3:3">
      <c r="C317" s="8"/>
    </row>
    <row r="318" spans="3:3">
      <c r="C318" s="8"/>
    </row>
    <row r="319" spans="3:3">
      <c r="C319" s="8"/>
    </row>
    <row r="320" spans="3:3">
      <c r="C320" s="8"/>
    </row>
    <row r="321" spans="3:9">
      <c r="C321" s="8"/>
    </row>
    <row r="322" spans="3:9">
      <c r="C322" s="8"/>
      <c r="I322" s="25"/>
    </row>
    <row r="323" spans="3:9">
      <c r="C323" s="8"/>
      <c r="H323" s="24"/>
      <c r="I323" s="23"/>
    </row>
    <row r="324" spans="3:9">
      <c r="C324" s="8"/>
    </row>
    <row r="325" spans="3:9">
      <c r="C325" s="8"/>
    </row>
    <row r="326" spans="3:9">
      <c r="C326" s="8"/>
    </row>
    <row r="327" spans="3:9">
      <c r="C327" s="8"/>
    </row>
    <row r="328" spans="3:9">
      <c r="C328" s="8"/>
    </row>
    <row r="329" spans="3:9">
      <c r="C329" s="8"/>
    </row>
    <row r="330" spans="3:9">
      <c r="C330" s="8"/>
    </row>
    <row r="331" spans="3:9">
      <c r="C331" s="8"/>
    </row>
    <row r="332" spans="3:9">
      <c r="C332" s="8"/>
    </row>
    <row r="333" spans="3:9">
      <c r="C333" s="8"/>
    </row>
    <row r="334" spans="3:9">
      <c r="C334" s="8"/>
    </row>
    <row r="335" spans="3:9">
      <c r="C335" s="8"/>
    </row>
    <row r="336" spans="3:9">
      <c r="C336" s="8"/>
    </row>
    <row r="337" spans="3:3">
      <c r="C337" s="8"/>
    </row>
    <row r="338" spans="3:3">
      <c r="C338" s="8"/>
    </row>
    <row r="339" spans="3:3">
      <c r="C339" s="8"/>
    </row>
    <row r="340" spans="3:3">
      <c r="C340" s="8"/>
    </row>
    <row r="341" spans="3:3">
      <c r="C341" s="8"/>
    </row>
    <row r="342" spans="3:3">
      <c r="C342" s="8"/>
    </row>
    <row r="343" spans="3:3">
      <c r="C343" s="8"/>
    </row>
    <row r="344" spans="3:3">
      <c r="C344" s="8"/>
    </row>
    <row r="345" spans="3:3">
      <c r="C345" s="8"/>
    </row>
    <row r="346" spans="3:3">
      <c r="C346" s="8"/>
    </row>
    <row r="347" spans="3:3">
      <c r="C347" s="8"/>
    </row>
    <row r="348" spans="3:3">
      <c r="C348" s="8"/>
    </row>
    <row r="349" spans="3:3">
      <c r="C349" s="8"/>
    </row>
    <row r="350" spans="3:3">
      <c r="C350" s="8"/>
    </row>
    <row r="351" spans="3:3">
      <c r="C351" s="8"/>
    </row>
    <row r="352" spans="3:3">
      <c r="C352" s="8"/>
    </row>
    <row r="353" spans="3:9">
      <c r="C353" s="8"/>
    </row>
    <row r="354" spans="3:9">
      <c r="C354" s="8"/>
    </row>
    <row r="355" spans="3:9">
      <c r="C355" s="8"/>
    </row>
    <row r="356" spans="3:9">
      <c r="C356" s="8"/>
    </row>
    <row r="357" spans="3:9">
      <c r="C357" s="8"/>
    </row>
    <row r="358" spans="3:9">
      <c r="C358" s="8"/>
    </row>
    <row r="359" spans="3:9">
      <c r="C359" s="8"/>
    </row>
    <row r="360" spans="3:9">
      <c r="C360" s="8"/>
    </row>
    <row r="361" spans="3:9">
      <c r="C361" s="8"/>
    </row>
    <row r="362" spans="3:9">
      <c r="C362" s="8"/>
    </row>
    <row r="363" spans="3:9">
      <c r="C363" s="8"/>
      <c r="E363" s="30"/>
      <c r="F363" s="30"/>
      <c r="G363" s="25"/>
      <c r="H363" s="25"/>
      <c r="I363" s="25"/>
    </row>
    <row r="364" spans="3:9">
      <c r="C364" s="8"/>
      <c r="D364" s="29"/>
      <c r="E364" s="26"/>
      <c r="F364" s="26"/>
      <c r="G364" s="26"/>
      <c r="H364" s="26"/>
      <c r="I364" s="26"/>
    </row>
    <row r="365" spans="3:9">
      <c r="C365" s="8"/>
      <c r="D365" s="29"/>
      <c r="E365" s="26"/>
      <c r="F365" s="26"/>
      <c r="G365" s="26"/>
      <c r="H365" s="26"/>
      <c r="I365" s="26"/>
    </row>
    <row r="366" spans="3:9">
      <c r="C366" s="8"/>
      <c r="D366" s="29"/>
      <c r="E366" s="27"/>
      <c r="F366" s="27"/>
      <c r="G366" s="26"/>
      <c r="H366" s="26"/>
      <c r="I366" s="26"/>
    </row>
    <row r="367" spans="3:9">
      <c r="C367" s="8"/>
      <c r="D367" s="29"/>
      <c r="E367" s="27"/>
      <c r="F367" s="28"/>
      <c r="G367" s="26"/>
      <c r="H367" s="26"/>
      <c r="I367" s="27"/>
    </row>
    <row r="368" spans="3:9">
      <c r="C368" s="8"/>
      <c r="D368" s="29"/>
      <c r="E368" s="27"/>
      <c r="F368" s="27"/>
      <c r="G368" s="26"/>
      <c r="H368" s="26"/>
      <c r="I368" s="27"/>
    </row>
    <row r="369" spans="3:9">
      <c r="C369" s="8"/>
      <c r="D369" s="29"/>
      <c r="E369" s="27"/>
      <c r="F369" s="27"/>
      <c r="G369" s="26"/>
      <c r="H369" s="26"/>
      <c r="I369" s="27"/>
    </row>
    <row r="370" spans="3:9">
      <c r="C370" s="8"/>
      <c r="D370" s="29"/>
      <c r="E370" s="27"/>
      <c r="F370" s="27"/>
      <c r="G370" s="26"/>
      <c r="H370" s="26"/>
      <c r="I370" s="27"/>
    </row>
    <row r="371" spans="3:9">
      <c r="C371" s="8"/>
      <c r="D371" s="29"/>
      <c r="E371" s="27"/>
      <c r="F371" s="27"/>
      <c r="G371" s="26"/>
      <c r="H371" s="26"/>
      <c r="I371" s="27"/>
    </row>
    <row r="372" spans="3:9">
      <c r="C372" s="8"/>
      <c r="D372" s="29"/>
      <c r="E372" s="27"/>
      <c r="F372" s="27"/>
      <c r="G372" s="26"/>
      <c r="H372" s="26"/>
      <c r="I372" s="27"/>
    </row>
    <row r="373" spans="3:9">
      <c r="C373" s="8"/>
      <c r="D373" s="29"/>
      <c r="I373" s="31"/>
    </row>
    <row r="374" spans="3:9">
      <c r="C374" s="8"/>
      <c r="D374" s="29"/>
    </row>
    <row r="375" spans="3:9">
      <c r="C375" s="8"/>
      <c r="D375" s="29"/>
    </row>
    <row r="376" spans="3:9">
      <c r="C376" s="8"/>
      <c r="D376" s="29"/>
    </row>
    <row r="377" spans="3:9">
      <c r="C377" s="8"/>
      <c r="D377" s="29"/>
    </row>
    <row r="378" spans="3:9">
      <c r="C378" s="8"/>
      <c r="D378" s="29"/>
    </row>
    <row r="379" spans="3:9">
      <c r="C379" s="8"/>
      <c r="D379" s="29"/>
    </row>
    <row r="380" spans="3:9">
      <c r="C380" s="8"/>
      <c r="D380" s="29"/>
    </row>
    <row r="381" spans="3:9">
      <c r="C381" s="8"/>
      <c r="D381" s="29"/>
    </row>
    <row r="382" spans="3:9">
      <c r="C382" s="8"/>
      <c r="D382" s="29"/>
    </row>
    <row r="383" spans="3:9">
      <c r="C383" s="8"/>
      <c r="D383" s="29"/>
    </row>
    <row r="384" spans="3:9">
      <c r="C384" s="8"/>
      <c r="D384" s="29"/>
    </row>
    <row r="385" spans="3:9">
      <c r="C385" s="8"/>
      <c r="D385" s="29"/>
    </row>
    <row r="386" spans="3:9">
      <c r="C386" s="8"/>
      <c r="D386" s="29"/>
      <c r="E386" s="30"/>
      <c r="F386" s="30"/>
      <c r="G386" s="25"/>
      <c r="H386" s="25"/>
      <c r="I386" s="25"/>
    </row>
    <row r="387" spans="3:9">
      <c r="C387" s="8"/>
      <c r="D387" s="29"/>
      <c r="E387" s="26"/>
      <c r="F387" s="26"/>
      <c r="G387" s="26"/>
      <c r="H387" s="26"/>
      <c r="I387" s="26"/>
    </row>
    <row r="388" spans="3:9">
      <c r="C388" s="8"/>
      <c r="D388" s="29"/>
      <c r="E388" s="26"/>
      <c r="F388" s="26"/>
      <c r="G388" s="26"/>
      <c r="H388" s="26"/>
      <c r="I388" s="26"/>
    </row>
    <row r="389" spans="3:9">
      <c r="C389" s="8"/>
      <c r="D389" s="29"/>
      <c r="E389" s="27"/>
      <c r="F389" s="27"/>
      <c r="G389" s="26"/>
      <c r="H389" s="26"/>
      <c r="I389" s="26"/>
    </row>
    <row r="390" spans="3:9">
      <c r="C390" s="8"/>
      <c r="D390" s="29"/>
      <c r="E390" s="27"/>
      <c r="F390" s="27"/>
      <c r="G390" s="26"/>
      <c r="H390" s="26"/>
      <c r="I390" s="26"/>
    </row>
    <row r="391" spans="3:9">
      <c r="C391" s="8"/>
      <c r="D391" s="29"/>
      <c r="E391" s="32"/>
      <c r="F391" s="32"/>
      <c r="G391" s="31"/>
      <c r="H391" s="31"/>
      <c r="I391" s="31"/>
    </row>
    <row r="392" spans="3:9">
      <c r="C392" s="8"/>
      <c r="D392" s="29"/>
    </row>
    <row r="393" spans="3:9">
      <c r="C393" s="8"/>
      <c r="D393" s="29"/>
    </row>
    <row r="394" spans="3:9">
      <c r="C394" s="8"/>
      <c r="D394" s="29"/>
    </row>
    <row r="395" spans="3:9">
      <c r="C395" s="8"/>
      <c r="D395" s="29"/>
    </row>
    <row r="396" spans="3:9">
      <c r="C396" s="8"/>
      <c r="D396" s="29"/>
    </row>
    <row r="397" spans="3:9">
      <c r="C397" s="8"/>
      <c r="D397" s="29"/>
    </row>
    <row r="398" spans="3:9">
      <c r="C398" s="8"/>
      <c r="D398" s="29"/>
    </row>
    <row r="399" spans="3:9">
      <c r="C399" s="8"/>
      <c r="D399" s="29"/>
    </row>
    <row r="400" spans="3:9">
      <c r="C400" s="8"/>
      <c r="D400" s="29"/>
    </row>
    <row r="401" spans="3:4">
      <c r="C401" s="8"/>
      <c r="D401" s="29"/>
    </row>
    <row r="402" spans="3:4">
      <c r="C402" s="8"/>
      <c r="D402" s="29"/>
    </row>
    <row r="403" spans="3:4">
      <c r="C403" s="8"/>
      <c r="D403" s="29"/>
    </row>
    <row r="404" spans="3:4">
      <c r="C404" s="8"/>
      <c r="D404" s="29"/>
    </row>
    <row r="405" spans="3:4">
      <c r="C405" s="8"/>
      <c r="D405" s="29"/>
    </row>
    <row r="406" spans="3:4">
      <c r="C406" s="8"/>
      <c r="D406" s="29"/>
    </row>
    <row r="407" spans="3:4">
      <c r="C407" s="8"/>
      <c r="D407" s="29"/>
    </row>
    <row r="408" spans="3:4">
      <c r="C408" s="8"/>
      <c r="D408" s="29"/>
    </row>
    <row r="409" spans="3:4">
      <c r="C409" s="8"/>
      <c r="D409" s="29"/>
    </row>
    <row r="410" spans="3:4">
      <c r="C410" s="8"/>
      <c r="D410" s="29"/>
    </row>
    <row r="411" spans="3:4">
      <c r="C411" s="8"/>
      <c r="D411" s="29"/>
    </row>
    <row r="412" spans="3:4">
      <c r="C412" s="8"/>
      <c r="D412" s="29"/>
    </row>
    <row r="413" spans="3:4">
      <c r="C413" s="8"/>
      <c r="D413" s="29"/>
    </row>
    <row r="414" spans="3:4">
      <c r="C414" s="8"/>
      <c r="D414" s="29"/>
    </row>
    <row r="415" spans="3:4">
      <c r="C415" s="8"/>
      <c r="D415" s="29"/>
    </row>
    <row r="416" spans="3:4">
      <c r="C416" s="8"/>
      <c r="D416" s="29"/>
    </row>
    <row r="417" spans="3:4">
      <c r="C417" s="8"/>
      <c r="D417" s="29"/>
    </row>
    <row r="418" spans="3:4">
      <c r="C418" s="8"/>
      <c r="D418" s="29"/>
    </row>
    <row r="419" spans="3:4">
      <c r="C419" s="8"/>
      <c r="D419" s="29"/>
    </row>
    <row r="420" spans="3:4">
      <c r="C420" s="8"/>
      <c r="D420" s="29"/>
    </row>
    <row r="421" spans="3:4">
      <c r="C421" s="8"/>
      <c r="D421" s="29"/>
    </row>
    <row r="422" spans="3:4">
      <c r="C422" s="8"/>
      <c r="D422" s="29"/>
    </row>
    <row r="423" spans="3:4">
      <c r="C423" s="8"/>
      <c r="D423" s="29"/>
    </row>
    <row r="424" spans="3:4">
      <c r="C424" s="8"/>
      <c r="D424" s="29"/>
    </row>
    <row r="425" spans="3:4">
      <c r="C425" s="8"/>
      <c r="D425" s="29"/>
    </row>
    <row r="426" spans="3:4">
      <c r="C426" s="8"/>
      <c r="D426" s="29"/>
    </row>
    <row r="427" spans="3:4">
      <c r="C427" s="8"/>
      <c r="D427" s="29"/>
    </row>
    <row r="428" spans="3:4">
      <c r="C428" s="8"/>
      <c r="D428" s="29"/>
    </row>
    <row r="429" spans="3:4">
      <c r="C429" s="8"/>
      <c r="D429" s="29"/>
    </row>
    <row r="430" spans="3:4">
      <c r="C430" s="8"/>
      <c r="D430" s="29"/>
    </row>
    <row r="431" spans="3:4">
      <c r="C431" s="8"/>
      <c r="D431" s="29"/>
    </row>
    <row r="432" spans="3:4">
      <c r="C432" s="8"/>
      <c r="D432" s="29"/>
    </row>
    <row r="433" spans="3:4">
      <c r="C433" s="8"/>
      <c r="D433" s="29"/>
    </row>
    <row r="434" spans="3:4">
      <c r="C434" s="8"/>
      <c r="D434" s="29"/>
    </row>
    <row r="435" spans="3:4">
      <c r="C435" s="8"/>
      <c r="D435" s="29"/>
    </row>
    <row r="436" spans="3:4">
      <c r="C436" s="8"/>
      <c r="D436" s="29"/>
    </row>
    <row r="437" spans="3:4">
      <c r="C437" s="8"/>
      <c r="D437" s="29"/>
    </row>
    <row r="438" spans="3:4">
      <c r="C438" s="8"/>
      <c r="D438" s="29"/>
    </row>
    <row r="439" spans="3:4">
      <c r="C439" s="8"/>
      <c r="D439" s="29"/>
    </row>
    <row r="440" spans="3:4">
      <c r="C440" s="8"/>
      <c r="D440" s="29"/>
    </row>
    <row r="441" spans="3:4">
      <c r="C441" s="8"/>
      <c r="D441" s="29"/>
    </row>
    <row r="442" spans="3:4">
      <c r="C442" s="8"/>
      <c r="D442" s="29"/>
    </row>
    <row r="443" spans="3:4">
      <c r="C443" s="8"/>
      <c r="D443" s="29"/>
    </row>
    <row r="444" spans="3:4">
      <c r="C444" s="8"/>
      <c r="D444" s="29"/>
    </row>
    <row r="445" spans="3:4">
      <c r="C445" s="8"/>
      <c r="D445" s="29"/>
    </row>
    <row r="446" spans="3:4">
      <c r="C446" s="8"/>
      <c r="D446" s="29"/>
    </row>
    <row r="447" spans="3:4">
      <c r="C447" s="8"/>
      <c r="D447" s="29"/>
    </row>
    <row r="448" spans="3:4">
      <c r="C448" s="8"/>
      <c r="D448" s="29"/>
    </row>
    <row r="449" spans="3:9">
      <c r="C449" s="8"/>
      <c r="D449" s="29"/>
    </row>
    <row r="450" spans="3:9">
      <c r="C450" s="8"/>
      <c r="D450" s="29"/>
    </row>
    <row r="451" spans="3:9">
      <c r="C451" s="8"/>
      <c r="D451" s="29"/>
    </row>
    <row r="452" spans="3:9">
      <c r="C452" s="8"/>
      <c r="D452" s="42"/>
    </row>
    <row r="453" spans="3:9">
      <c r="C453" s="8"/>
      <c r="D453" s="29"/>
    </row>
    <row r="454" spans="3:9">
      <c r="C454" s="8"/>
      <c r="D454" s="29"/>
    </row>
    <row r="455" spans="3:9">
      <c r="C455" s="8"/>
      <c r="D455" s="29"/>
    </row>
    <row r="456" spans="3:9">
      <c r="C456" s="8"/>
      <c r="D456" s="29"/>
    </row>
    <row r="457" spans="3:9">
      <c r="C457" s="8"/>
      <c r="D457" s="29"/>
    </row>
    <row r="458" spans="3:9">
      <c r="C458" s="8"/>
      <c r="D458" s="29"/>
      <c r="H458" s="33"/>
      <c r="I458" s="34"/>
    </row>
    <row r="459" spans="3:9">
      <c r="C459" s="8"/>
      <c r="D459" s="29"/>
      <c r="H459" s="33"/>
      <c r="I459" s="34"/>
    </row>
    <row r="460" spans="3:9">
      <c r="C460" s="8"/>
    </row>
    <row r="461" spans="3:9">
      <c r="C461" s="8"/>
    </row>
    <row r="462" spans="3:9">
      <c r="C462" s="8"/>
    </row>
    <row r="463" spans="3:9">
      <c r="C463" s="8"/>
    </row>
    <row r="464" spans="3:9">
      <c r="C464" s="8"/>
    </row>
    <row r="465" spans="3:9">
      <c r="C465" s="8"/>
    </row>
    <row r="466" spans="3:9">
      <c r="C466" s="8"/>
    </row>
    <row r="467" spans="3:9">
      <c r="C467" s="8"/>
    </row>
    <row r="468" spans="3:9">
      <c r="C468" s="8"/>
    </row>
    <row r="469" spans="3:9">
      <c r="C469" s="8"/>
    </row>
    <row r="470" spans="3:9">
      <c r="C470" s="8"/>
    </row>
    <row r="471" spans="3:9">
      <c r="C471" s="8"/>
      <c r="H471" s="33"/>
      <c r="I471" s="34"/>
    </row>
    <row r="472" spans="3:9">
      <c r="C472" s="8"/>
      <c r="H472" s="33"/>
    </row>
    <row r="473" spans="3:9">
      <c r="C473" s="8"/>
    </row>
    <row r="474" spans="3:9">
      <c r="C474" s="8"/>
    </row>
    <row r="475" spans="3:9">
      <c r="C475" s="8"/>
    </row>
    <row r="476" spans="3:9">
      <c r="C476" s="8"/>
    </row>
    <row r="477" spans="3:9">
      <c r="C477" s="8"/>
    </row>
    <row r="478" spans="3:9">
      <c r="C478" s="8"/>
    </row>
    <row r="479" spans="3:9">
      <c r="C479" s="8"/>
    </row>
    <row r="480" spans="3:9">
      <c r="C480" s="8"/>
    </row>
    <row r="481" spans="3:4">
      <c r="C481" s="8"/>
    </row>
    <row r="482" spans="3:4">
      <c r="C482" s="8"/>
    </row>
    <row r="483" spans="3:4">
      <c r="C483" s="8"/>
    </row>
    <row r="484" spans="3:4">
      <c r="C484" s="8"/>
    </row>
    <row r="485" spans="3:4">
      <c r="C485" s="8"/>
      <c r="D485" s="29"/>
    </row>
    <row r="486" spans="3:4">
      <c r="C486" s="8"/>
      <c r="D486" s="29"/>
    </row>
    <row r="487" spans="3:4">
      <c r="C487" s="8"/>
      <c r="D487" s="29"/>
    </row>
    <row r="488" spans="3:4">
      <c r="C488" s="8"/>
      <c r="D488" s="29"/>
    </row>
    <row r="489" spans="3:4">
      <c r="C489" s="8"/>
      <c r="D489" s="29"/>
    </row>
    <row r="490" spans="3:4">
      <c r="C490" s="8"/>
      <c r="D490" s="29"/>
    </row>
    <row r="491" spans="3:4">
      <c r="C491" s="8"/>
      <c r="D491" s="29"/>
    </row>
    <row r="492" spans="3:4">
      <c r="C492" s="8"/>
      <c r="D492" s="29"/>
    </row>
    <row r="493" spans="3:4">
      <c r="C493" s="8"/>
      <c r="D493" s="29"/>
    </row>
    <row r="494" spans="3:4">
      <c r="C494" s="8"/>
      <c r="D494" s="29"/>
    </row>
    <row r="495" spans="3:4">
      <c r="C495" s="8"/>
      <c r="D495" s="29"/>
    </row>
    <row r="496" spans="3:4">
      <c r="C496" s="8"/>
      <c r="D496" s="29"/>
    </row>
    <row r="497" spans="3:4">
      <c r="C497" s="8"/>
      <c r="D497" s="29"/>
    </row>
    <row r="498" spans="3:4">
      <c r="C498" s="8"/>
      <c r="D498" s="29"/>
    </row>
    <row r="499" spans="3:4">
      <c r="C499" s="8"/>
      <c r="D499" s="29"/>
    </row>
    <row r="500" spans="3:4">
      <c r="C500" s="8"/>
      <c r="D500" s="29"/>
    </row>
    <row r="501" spans="3:4">
      <c r="C501" s="8"/>
      <c r="D501" s="29"/>
    </row>
    <row r="502" spans="3:4">
      <c r="C502" s="8"/>
      <c r="D502" s="29"/>
    </row>
    <row r="503" spans="3:4">
      <c r="C503" s="8"/>
      <c r="D503" s="29"/>
    </row>
    <row r="504" spans="3:4">
      <c r="C504" s="8"/>
      <c r="D504" s="29"/>
    </row>
    <row r="505" spans="3:4">
      <c r="C505" s="8"/>
    </row>
    <row r="506" spans="3:4">
      <c r="C506" s="8"/>
      <c r="D506" s="29"/>
    </row>
    <row r="507" spans="3:4">
      <c r="C507" s="8"/>
      <c r="D507" s="29"/>
    </row>
    <row r="508" spans="3:4">
      <c r="C508" s="8"/>
      <c r="D508" s="29"/>
    </row>
    <row r="509" spans="3:4">
      <c r="C509" s="8"/>
      <c r="D509" s="29"/>
    </row>
    <row r="510" spans="3:4">
      <c r="C510" s="8"/>
      <c r="D510" s="29"/>
    </row>
    <row r="511" spans="3:4">
      <c r="C511" s="8"/>
      <c r="D511" s="29"/>
    </row>
    <row r="512" spans="3:4">
      <c r="C512" s="8"/>
      <c r="D512" s="29"/>
    </row>
    <row r="513" spans="3:4">
      <c r="C513" s="8"/>
      <c r="D513" s="29"/>
    </row>
    <row r="514" spans="3:4">
      <c r="C514" s="8"/>
      <c r="D514" s="29"/>
    </row>
    <row r="515" spans="3:4">
      <c r="C515" s="8"/>
      <c r="D515" s="29"/>
    </row>
    <row r="516" spans="3:4">
      <c r="C516" s="8"/>
      <c r="D516" s="29"/>
    </row>
    <row r="517" spans="3:4">
      <c r="C517" s="8"/>
      <c r="D517" s="29"/>
    </row>
    <row r="518" spans="3:4">
      <c r="C518" s="8"/>
      <c r="D518" s="29"/>
    </row>
    <row r="519" spans="3:4">
      <c r="C519" s="8"/>
      <c r="D519" s="29"/>
    </row>
    <row r="520" spans="3:4">
      <c r="C520" s="8"/>
      <c r="D520" s="29"/>
    </row>
    <row r="521" spans="3:4">
      <c r="C521" s="8"/>
      <c r="D521" s="29"/>
    </row>
    <row r="522" spans="3:4">
      <c r="C522" s="8"/>
      <c r="D522" s="29"/>
    </row>
    <row r="523" spans="3:4">
      <c r="C523" s="8"/>
      <c r="D523" s="29"/>
    </row>
    <row r="524" spans="3:4">
      <c r="C524" s="8"/>
      <c r="D524" s="29"/>
    </row>
    <row r="525" spans="3:4">
      <c r="C525" s="8"/>
      <c r="D525" s="29"/>
    </row>
    <row r="526" spans="3:4">
      <c r="C526" s="8"/>
      <c r="D526" s="29"/>
    </row>
    <row r="527" spans="3:4">
      <c r="C527" s="8"/>
      <c r="D527" s="29"/>
    </row>
    <row r="528" spans="3:4">
      <c r="C528" s="8"/>
      <c r="D528" s="29"/>
    </row>
    <row r="529" spans="3:4">
      <c r="C529" s="8"/>
      <c r="D529" s="29"/>
    </row>
    <row r="530" spans="3:4">
      <c r="C530" s="8"/>
      <c r="D530" s="29"/>
    </row>
    <row r="531" spans="3:4">
      <c r="C531" s="8"/>
      <c r="D531" s="29"/>
    </row>
    <row r="532" spans="3:4">
      <c r="C532" s="8"/>
      <c r="D532" s="29"/>
    </row>
    <row r="533" spans="3:4">
      <c r="C533" s="8"/>
      <c r="D533" s="29"/>
    </row>
    <row r="534" spans="3:4">
      <c r="C534" s="8"/>
      <c r="D534" s="29"/>
    </row>
    <row r="535" spans="3:4">
      <c r="C535" s="8"/>
      <c r="D535" s="29"/>
    </row>
    <row r="536" spans="3:4">
      <c r="C536" s="8"/>
      <c r="D536" s="29"/>
    </row>
    <row r="537" spans="3:4">
      <c r="C537" s="8"/>
      <c r="D537" s="29"/>
    </row>
    <row r="538" spans="3:4">
      <c r="C538" s="8"/>
      <c r="D538" s="29"/>
    </row>
    <row r="539" spans="3:4">
      <c r="C539" s="8"/>
      <c r="D539" s="29"/>
    </row>
    <row r="540" spans="3:4">
      <c r="C540" s="8"/>
      <c r="D540" s="29"/>
    </row>
    <row r="541" spans="3:4">
      <c r="C541" s="8"/>
      <c r="D541" s="29"/>
    </row>
    <row r="542" spans="3:4">
      <c r="C542" s="8"/>
      <c r="D542" s="29"/>
    </row>
    <row r="543" spans="3:4">
      <c r="C543" s="8"/>
      <c r="D543" s="29"/>
    </row>
    <row r="544" spans="3:4">
      <c r="C544" s="8"/>
      <c r="D544" s="29"/>
    </row>
    <row r="545" spans="3:4">
      <c r="C545" s="8"/>
      <c r="D545" s="29"/>
    </row>
    <row r="546" spans="3:4">
      <c r="C546" s="8"/>
      <c r="D546" s="29"/>
    </row>
    <row r="547" spans="3:4">
      <c r="C547" s="8"/>
      <c r="D547" s="29"/>
    </row>
    <row r="548" spans="3:4">
      <c r="C548" s="8"/>
      <c r="D548" s="29"/>
    </row>
    <row r="549" spans="3:4">
      <c r="C549" s="8"/>
      <c r="D549" s="29"/>
    </row>
    <row r="550" spans="3:4">
      <c r="C550" s="8"/>
      <c r="D550" s="29"/>
    </row>
    <row r="551" spans="3:4">
      <c r="C551" s="8"/>
      <c r="D551" s="29"/>
    </row>
    <row r="552" spans="3:4">
      <c r="C552" s="8"/>
      <c r="D552" s="38"/>
    </row>
    <row r="553" spans="3:4">
      <c r="C553" s="8"/>
      <c r="D553" s="29"/>
    </row>
    <row r="554" spans="3:4">
      <c r="C554" s="8"/>
      <c r="D554" s="29"/>
    </row>
    <row r="555" spans="3:4">
      <c r="C555" s="8"/>
      <c r="D555" s="29"/>
    </row>
    <row r="556" spans="3:4">
      <c r="C556" s="8"/>
      <c r="D556" s="29"/>
    </row>
    <row r="557" spans="3:4">
      <c r="C557" s="8"/>
      <c r="D557" s="29"/>
    </row>
    <row r="558" spans="3:4">
      <c r="C558" s="8"/>
      <c r="D558" s="29"/>
    </row>
    <row r="559" spans="3:4">
      <c r="C559" s="8"/>
      <c r="D559" s="29"/>
    </row>
    <row r="560" spans="3:4">
      <c r="C560" s="8"/>
      <c r="D560" s="29"/>
    </row>
    <row r="561" spans="3:8">
      <c r="C561" s="8"/>
      <c r="D561" s="29"/>
    </row>
    <row r="562" spans="3:8">
      <c r="C562" s="8"/>
    </row>
    <row r="563" spans="3:8">
      <c r="C563" s="8"/>
      <c r="E563" s="17"/>
      <c r="F563" s="18"/>
      <c r="G563" s="19"/>
      <c r="H563" s="19"/>
    </row>
    <row r="564" spans="3:8">
      <c r="C564" s="8"/>
      <c r="D564" s="29"/>
    </row>
    <row r="565" spans="3:8">
      <c r="C565" s="8"/>
      <c r="D565" s="29"/>
    </row>
    <row r="566" spans="3:8">
      <c r="C566" s="8"/>
      <c r="D566" s="29"/>
    </row>
    <row r="567" spans="3:8">
      <c r="C567" s="8"/>
      <c r="D567" s="29"/>
    </row>
    <row r="568" spans="3:8">
      <c r="C568" s="8"/>
      <c r="E568" s="20"/>
      <c r="F568" s="21"/>
      <c r="G568" s="22"/>
      <c r="H568" s="22"/>
    </row>
    <row r="569" spans="3:8">
      <c r="C569" s="8"/>
    </row>
    <row r="570" spans="3:8">
      <c r="C570" s="8"/>
      <c r="E570" s="17"/>
      <c r="F570" s="18"/>
      <c r="G570" s="19"/>
      <c r="H570" s="19"/>
    </row>
    <row r="571" spans="3:8">
      <c r="C571" s="8"/>
      <c r="D571" s="29"/>
    </row>
    <row r="572" spans="3:8">
      <c r="C572" s="8"/>
      <c r="D572" s="29"/>
    </row>
    <row r="573" spans="3:8">
      <c r="C573" s="8"/>
      <c r="D573" s="29"/>
    </row>
    <row r="574" spans="3:8">
      <c r="C574" s="8"/>
      <c r="D574" s="29"/>
    </row>
    <row r="575" spans="3:8">
      <c r="C575" s="8"/>
      <c r="D575" s="29"/>
    </row>
    <row r="576" spans="3:8">
      <c r="C576" s="8"/>
      <c r="D576" s="29"/>
    </row>
    <row r="577" spans="3:9">
      <c r="C577" s="8"/>
      <c r="D577" s="29"/>
    </row>
    <row r="578" spans="3:9">
      <c r="C578" s="8"/>
      <c r="D578" s="29"/>
    </row>
    <row r="579" spans="3:9">
      <c r="C579" s="8"/>
      <c r="D579" s="29"/>
    </row>
    <row r="580" spans="3:9">
      <c r="C580" s="8"/>
      <c r="D580" s="29"/>
    </row>
    <row r="581" spans="3:9">
      <c r="C581" s="8"/>
      <c r="D581" s="29"/>
    </row>
    <row r="582" spans="3:9">
      <c r="C582" s="8"/>
      <c r="D582" s="29"/>
    </row>
    <row r="583" spans="3:9">
      <c r="C583" s="8"/>
      <c r="D583" s="29"/>
    </row>
    <row r="584" spans="3:9">
      <c r="C584" s="8"/>
      <c r="D584" s="29"/>
    </row>
    <row r="585" spans="3:9">
      <c r="C585" s="8"/>
      <c r="D585" s="29"/>
    </row>
    <row r="586" spans="3:9">
      <c r="C586" s="8"/>
      <c r="D586" s="29"/>
    </row>
    <row r="587" spans="3:9">
      <c r="C587" s="8"/>
      <c r="D587" s="29"/>
      <c r="H587" s="33"/>
    </row>
    <row r="588" spans="3:9">
      <c r="C588" s="8"/>
      <c r="D588" s="29"/>
      <c r="E588" s="17"/>
      <c r="F588" s="18"/>
      <c r="G588" s="19"/>
      <c r="H588" s="19"/>
      <c r="I588" s="36"/>
    </row>
    <row r="589" spans="3:9">
      <c r="C589" s="8"/>
      <c r="D589" s="29"/>
    </row>
    <row r="590" spans="3:9">
      <c r="C590" s="8"/>
      <c r="D590" s="29"/>
    </row>
    <row r="591" spans="3:9">
      <c r="C591" s="8"/>
      <c r="D591" s="29"/>
    </row>
    <row r="592" spans="3:9">
      <c r="C592" s="8"/>
      <c r="D592" s="29"/>
    </row>
    <row r="593" spans="3:11">
      <c r="C593" s="8"/>
      <c r="D593" s="29"/>
    </row>
    <row r="594" spans="3:11">
      <c r="C594" s="8"/>
      <c r="D594" s="29"/>
    </row>
    <row r="595" spans="3:11">
      <c r="C595" s="8"/>
      <c r="D595" s="29"/>
    </row>
    <row r="596" spans="3:11">
      <c r="C596" s="8"/>
      <c r="D596" s="29"/>
    </row>
    <row r="597" spans="3:11">
      <c r="C597" s="8"/>
      <c r="D597" s="29"/>
    </row>
    <row r="598" spans="3:11">
      <c r="C598" s="8"/>
      <c r="D598" s="29"/>
    </row>
    <row r="599" spans="3:11">
      <c r="C599" s="8"/>
      <c r="D599" s="29"/>
    </row>
    <row r="600" spans="3:11">
      <c r="C600" s="8"/>
      <c r="D600" s="29"/>
    </row>
    <row r="601" spans="3:11">
      <c r="C601" s="8"/>
      <c r="D601" s="29"/>
    </row>
    <row r="602" spans="3:11">
      <c r="C602" s="8"/>
      <c r="D602" s="29"/>
    </row>
    <row r="603" spans="3:11">
      <c r="C603" s="8"/>
      <c r="D603" s="29"/>
    </row>
    <row r="604" spans="3:11">
      <c r="C604" s="8"/>
    </row>
    <row r="605" spans="3:11">
      <c r="C605" s="8"/>
    </row>
    <row r="606" spans="3:11">
      <c r="C606" s="8"/>
      <c r="K606" s="43"/>
    </row>
    <row r="607" spans="3:11">
      <c r="C607" s="8"/>
    </row>
    <row r="608" spans="3:11">
      <c r="C608" s="8"/>
    </row>
    <row r="609" spans="3:9">
      <c r="C609" s="8"/>
    </row>
    <row r="610" spans="3:9">
      <c r="C610" s="8"/>
    </row>
    <row r="611" spans="3:9">
      <c r="C611" s="8"/>
    </row>
    <row r="612" spans="3:9">
      <c r="C612" s="8"/>
    </row>
    <row r="613" spans="3:9">
      <c r="C613" s="8"/>
      <c r="D613" s="29"/>
    </row>
    <row r="614" spans="3:9">
      <c r="C614" s="8"/>
      <c r="D614" s="29"/>
      <c r="E614" s="17"/>
      <c r="F614" s="17"/>
      <c r="G614" s="33"/>
      <c r="H614" s="33"/>
      <c r="I614" s="33"/>
    </row>
    <row r="615" spans="3:9">
      <c r="C615" s="8"/>
      <c r="D615" s="29"/>
      <c r="E615" s="17"/>
      <c r="F615" s="17"/>
      <c r="G615" s="33"/>
      <c r="H615" s="33"/>
      <c r="I615" s="33"/>
    </row>
    <row r="616" spans="3:9">
      <c r="C616" s="8"/>
      <c r="D616" s="29"/>
      <c r="E616" s="17"/>
      <c r="F616" s="17"/>
      <c r="G616" s="33"/>
      <c r="H616" s="33"/>
      <c r="I616" s="33"/>
    </row>
    <row r="617" spans="3:9">
      <c r="C617" s="8"/>
      <c r="D617" s="29"/>
    </row>
    <row r="618" spans="3:9">
      <c r="C618" s="8"/>
      <c r="D618" s="29"/>
    </row>
    <row r="619" spans="3:9">
      <c r="C619" s="8"/>
      <c r="D619" s="29"/>
    </row>
    <row r="620" spans="3:9">
      <c r="C620" s="8"/>
      <c r="D620" s="29"/>
    </row>
    <row r="621" spans="3:9">
      <c r="C621" s="8"/>
      <c r="D621" s="29"/>
    </row>
    <row r="622" spans="3:9">
      <c r="C622" s="8"/>
      <c r="D622" s="29"/>
    </row>
    <row r="623" spans="3:9">
      <c r="C623" s="8"/>
      <c r="D623" s="29"/>
    </row>
    <row r="624" spans="3:9">
      <c r="C624" s="8"/>
      <c r="D624" s="29"/>
    </row>
    <row r="625" spans="3:4">
      <c r="C625" s="8"/>
      <c r="D625" s="29"/>
    </row>
    <row r="626" spans="3:4">
      <c r="C626" s="8"/>
      <c r="D626" s="29"/>
    </row>
    <row r="627" spans="3:4">
      <c r="C627" s="8"/>
      <c r="D627" s="29"/>
    </row>
    <row r="628" spans="3:4">
      <c r="C628" s="8"/>
    </row>
    <row r="629" spans="3:4">
      <c r="C629" s="8"/>
    </row>
    <row r="630" spans="3:4">
      <c r="C630" s="8"/>
    </row>
    <row r="631" spans="3:4">
      <c r="C631" s="8"/>
    </row>
    <row r="632" spans="3:4">
      <c r="C632" s="8"/>
    </row>
    <row r="633" spans="3:4">
      <c r="C633" s="8"/>
    </row>
    <row r="634" spans="3:4">
      <c r="C634" s="8"/>
    </row>
    <row r="635" spans="3:4">
      <c r="C635" s="8"/>
    </row>
    <row r="636" spans="3:4">
      <c r="C636" s="8"/>
    </row>
    <row r="637" spans="3:4">
      <c r="C637" s="8"/>
    </row>
    <row r="638" spans="3:4">
      <c r="C638" s="8"/>
    </row>
    <row r="639" spans="3:4">
      <c r="C639" s="8"/>
    </row>
    <row r="640" spans="3:4">
      <c r="C640" s="8"/>
    </row>
    <row r="641" spans="3:3">
      <c r="C641" s="8"/>
    </row>
    <row r="642" spans="3:3">
      <c r="C642" s="8"/>
    </row>
    <row r="643" spans="3:3">
      <c r="C643" s="8"/>
    </row>
    <row r="644" spans="3:3">
      <c r="C644" s="8"/>
    </row>
    <row r="645" spans="3:3">
      <c r="C645" s="8"/>
    </row>
    <row r="646" spans="3:3">
      <c r="C646" s="8"/>
    </row>
    <row r="647" spans="3:3">
      <c r="C647" s="8"/>
    </row>
    <row r="648" spans="3:3">
      <c r="C648" s="8"/>
    </row>
    <row r="649" spans="3:3">
      <c r="C649" s="8"/>
    </row>
    <row r="650" spans="3:3">
      <c r="C650" s="8"/>
    </row>
    <row r="651" spans="3:3">
      <c r="C651" s="8"/>
    </row>
    <row r="652" spans="3:3">
      <c r="C652" s="8"/>
    </row>
    <row r="653" spans="3:3">
      <c r="C653" s="8"/>
    </row>
    <row r="654" spans="3:3">
      <c r="C654" s="8"/>
    </row>
    <row r="655" spans="3:3">
      <c r="C655" s="8"/>
    </row>
    <row r="656" spans="3:3">
      <c r="C656" s="8"/>
    </row>
    <row r="657" spans="3:9">
      <c r="C657" s="8"/>
    </row>
    <row r="658" spans="3:9">
      <c r="C658" s="8"/>
    </row>
    <row r="659" spans="3:9">
      <c r="C659" s="8"/>
    </row>
    <row r="660" spans="3:9">
      <c r="C660" s="8"/>
    </row>
    <row r="661" spans="3:9">
      <c r="C661" s="8"/>
      <c r="H661" s="33"/>
    </row>
    <row r="662" spans="3:9">
      <c r="C662" s="8"/>
      <c r="H662" s="39"/>
    </row>
    <row r="663" spans="3:9">
      <c r="C663" s="8"/>
      <c r="H663" s="39"/>
    </row>
    <row r="664" spans="3:9">
      <c r="C664" s="8"/>
      <c r="H664" s="39"/>
    </row>
    <row r="665" spans="3:9">
      <c r="C665" s="8"/>
    </row>
    <row r="666" spans="3:9">
      <c r="C666" s="8"/>
    </row>
    <row r="667" spans="3:9">
      <c r="C667" s="8"/>
    </row>
    <row r="668" spans="3:9">
      <c r="C668" s="8"/>
    </row>
    <row r="669" spans="3:9">
      <c r="C669" s="8"/>
    </row>
    <row r="670" spans="3:9">
      <c r="C670" s="8"/>
      <c r="E670" s="17"/>
      <c r="F670" s="18"/>
      <c r="G670" s="19"/>
      <c r="H670" s="19"/>
      <c r="I670" s="19"/>
    </row>
    <row r="671" spans="3:9">
      <c r="C671" s="8"/>
    </row>
    <row r="672" spans="3:9">
      <c r="C672" s="8"/>
    </row>
    <row r="673" spans="3:4">
      <c r="C673" s="8"/>
    </row>
    <row r="674" spans="3:4">
      <c r="C674" s="8"/>
    </row>
    <row r="675" spans="3:4">
      <c r="C675" s="8"/>
    </row>
    <row r="676" spans="3:4">
      <c r="C676" s="8"/>
      <c r="D676" s="40"/>
    </row>
    <row r="677" spans="3:4">
      <c r="C677" s="8"/>
      <c r="D677" s="40"/>
    </row>
    <row r="678" spans="3:4">
      <c r="C678" s="8"/>
    </row>
    <row r="679" spans="3:4">
      <c r="C679" s="8"/>
      <c r="D679" s="40"/>
    </row>
    <row r="680" spans="3:4">
      <c r="C680" s="8"/>
      <c r="D680" s="40"/>
    </row>
    <row r="681" spans="3:4">
      <c r="C681" s="8"/>
      <c r="D681" s="40"/>
    </row>
    <row r="682" spans="3:4">
      <c r="C682" s="8"/>
    </row>
    <row r="683" spans="3:4">
      <c r="C683" s="8"/>
    </row>
    <row r="684" spans="3:4">
      <c r="C684" s="8"/>
      <c r="D684" s="40"/>
    </row>
    <row r="685" spans="3:4">
      <c r="C685" s="8"/>
    </row>
    <row r="686" spans="3:4">
      <c r="C686" s="8"/>
      <c r="D686" s="40"/>
    </row>
    <row r="687" spans="3:4">
      <c r="C687" s="8"/>
      <c r="D687" s="40"/>
    </row>
    <row r="688" spans="3:4">
      <c r="C688" s="8"/>
      <c r="D688" s="40"/>
    </row>
    <row r="689" spans="3:8">
      <c r="C689" s="8"/>
    </row>
    <row r="690" spans="3:8">
      <c r="C690" s="8"/>
    </row>
    <row r="691" spans="3:8">
      <c r="C691" s="8"/>
    </row>
    <row r="692" spans="3:8">
      <c r="C692" s="8"/>
    </row>
    <row r="693" spans="3:8">
      <c r="C693" s="8"/>
      <c r="D693" s="40"/>
    </row>
    <row r="694" spans="3:8">
      <c r="C694" s="8"/>
      <c r="D694" s="40"/>
    </row>
    <row r="695" spans="3:8">
      <c r="C695" s="8"/>
    </row>
    <row r="696" spans="3:8">
      <c r="C696" s="8"/>
      <c r="D696" s="40"/>
    </row>
    <row r="697" spans="3:8">
      <c r="C697" s="8"/>
      <c r="D697" s="40"/>
    </row>
    <row r="698" spans="3:8">
      <c r="C698" s="8"/>
      <c r="D698" s="40"/>
    </row>
    <row r="699" spans="3:8">
      <c r="C699" s="8"/>
      <c r="D699" s="40"/>
    </row>
    <row r="700" spans="3:8">
      <c r="C700" s="8"/>
      <c r="D700" s="40"/>
    </row>
    <row r="701" spans="3:8">
      <c r="C701" s="8"/>
      <c r="D701" s="40"/>
    </row>
    <row r="702" spans="3:8">
      <c r="C702" s="8"/>
    </row>
    <row r="703" spans="3:8">
      <c r="C703" s="8"/>
      <c r="E703" s="17"/>
      <c r="F703" s="18"/>
      <c r="G703" s="19"/>
      <c r="H703" s="19"/>
    </row>
    <row r="704" spans="3:8">
      <c r="C704" s="8"/>
      <c r="E704" s="20"/>
      <c r="F704" s="21"/>
      <c r="G704" s="22"/>
      <c r="H704" s="22"/>
    </row>
    <row r="705" spans="3:8">
      <c r="C705" s="8"/>
    </row>
    <row r="706" spans="3:8">
      <c r="C706" s="8"/>
      <c r="E706" s="17"/>
      <c r="F706" s="18"/>
      <c r="G706" s="19"/>
      <c r="H706" s="19"/>
    </row>
    <row r="707" spans="3:8">
      <c r="C707" s="8"/>
      <c r="D707" s="40"/>
      <c r="E707" s="17"/>
    </row>
    <row r="708" spans="3:8">
      <c r="C708" s="8"/>
      <c r="D708" s="40"/>
      <c r="E708" s="17"/>
    </row>
    <row r="709" spans="3:8">
      <c r="C709" s="8"/>
      <c r="D709" s="40"/>
      <c r="E709" s="17"/>
    </row>
    <row r="710" spans="3:8">
      <c r="C710" s="8"/>
    </row>
    <row r="711" spans="3:8">
      <c r="C711" s="8"/>
    </row>
    <row r="712" spans="3:8">
      <c r="C712" s="8"/>
    </row>
    <row r="713" spans="3:8">
      <c r="C713" s="8"/>
    </row>
    <row r="714" spans="3:8">
      <c r="C714" s="8"/>
    </row>
    <row r="715" spans="3:8">
      <c r="C715" s="8"/>
    </row>
    <row r="716" spans="3:8">
      <c r="C716" s="8"/>
    </row>
    <row r="717" spans="3:8">
      <c r="C717" s="8"/>
    </row>
    <row r="718" spans="3:8">
      <c r="C718" s="8"/>
    </row>
    <row r="719" spans="3:8">
      <c r="C719" s="8"/>
    </row>
    <row r="720" spans="3:8">
      <c r="C720" s="8"/>
    </row>
    <row r="721" spans="3:4">
      <c r="C721" s="8"/>
    </row>
    <row r="722" spans="3:4">
      <c r="C722" s="8"/>
    </row>
    <row r="723" spans="3:4">
      <c r="C723" s="8"/>
      <c r="D723" s="40"/>
    </row>
    <row r="724" spans="3:4">
      <c r="C724" s="8"/>
    </row>
    <row r="725" spans="3:4">
      <c r="C725" s="8"/>
    </row>
    <row r="726" spans="3:4">
      <c r="C726" s="8"/>
    </row>
    <row r="727" spans="3:4">
      <c r="C727" s="8"/>
    </row>
    <row r="728" spans="3:4">
      <c r="C728" s="8"/>
      <c r="D728" s="40"/>
    </row>
    <row r="729" spans="3:4">
      <c r="C729" s="8"/>
    </row>
    <row r="730" spans="3:4">
      <c r="C730" s="8"/>
    </row>
    <row r="731" spans="3:4">
      <c r="C731" s="8"/>
    </row>
    <row r="732" spans="3:4">
      <c r="C732" s="8"/>
    </row>
    <row r="733" spans="3:4">
      <c r="C733" s="8"/>
    </row>
    <row r="734" spans="3:4">
      <c r="C734" s="8"/>
    </row>
    <row r="735" spans="3:4">
      <c r="C735" s="8"/>
    </row>
    <row r="736" spans="3:4">
      <c r="C736" s="8"/>
    </row>
    <row r="737" spans="3:4">
      <c r="C737" s="8"/>
    </row>
    <row r="738" spans="3:4">
      <c r="C738" s="8"/>
    </row>
    <row r="739" spans="3:4">
      <c r="C739" s="8"/>
    </row>
    <row r="740" spans="3:4">
      <c r="C740" s="8"/>
    </row>
    <row r="741" spans="3:4">
      <c r="C741" s="8"/>
    </row>
    <row r="742" spans="3:4">
      <c r="C742" s="8"/>
    </row>
    <row r="743" spans="3:4">
      <c r="C743" s="8"/>
    </row>
    <row r="744" spans="3:4">
      <c r="C744" s="8"/>
    </row>
    <row r="745" spans="3:4">
      <c r="C745" s="8"/>
    </row>
    <row r="746" spans="3:4">
      <c r="C746" s="8"/>
    </row>
    <row r="747" spans="3:4">
      <c r="C747" s="8"/>
    </row>
    <row r="748" spans="3:4">
      <c r="C748" s="8"/>
    </row>
    <row r="749" spans="3:4">
      <c r="C749" s="8"/>
      <c r="D749" s="29"/>
    </row>
    <row r="750" spans="3:4">
      <c r="C750" s="8"/>
      <c r="D750" s="29"/>
    </row>
    <row r="751" spans="3:4">
      <c r="C751" s="8"/>
      <c r="D751" s="29"/>
    </row>
    <row r="752" spans="3:4">
      <c r="C752" s="8"/>
      <c r="D752" s="29"/>
    </row>
    <row r="753" spans="3:4">
      <c r="C753" s="8"/>
      <c r="D753" s="29"/>
    </row>
    <row r="754" spans="3:4">
      <c r="C754" s="8"/>
      <c r="D754" s="29"/>
    </row>
    <row r="755" spans="3:4">
      <c r="C755" s="8"/>
      <c r="D755" s="29"/>
    </row>
    <row r="756" spans="3:4">
      <c r="C756" s="8"/>
      <c r="D756" s="29"/>
    </row>
    <row r="757" spans="3:4">
      <c r="C757" s="8"/>
      <c r="D757" s="29"/>
    </row>
    <row r="758" spans="3:4">
      <c r="C758" s="8"/>
      <c r="D758" s="29"/>
    </row>
    <row r="759" spans="3:4">
      <c r="C759" s="8"/>
      <c r="D759" s="29"/>
    </row>
    <row r="760" spans="3:4">
      <c r="C760" s="8"/>
      <c r="D760" s="29"/>
    </row>
    <row r="761" spans="3:4">
      <c r="C761" s="8"/>
      <c r="D761" s="29"/>
    </row>
    <row r="762" spans="3:4">
      <c r="C762" s="8"/>
      <c r="D762" s="29"/>
    </row>
    <row r="763" spans="3:4">
      <c r="C763" s="8"/>
      <c r="D763" s="29"/>
    </row>
    <row r="764" spans="3:4">
      <c r="C764" s="8"/>
      <c r="D764" s="29"/>
    </row>
    <row r="765" spans="3:4">
      <c r="C765" s="8"/>
    </row>
    <row r="766" spans="3:4">
      <c r="C766" s="8"/>
    </row>
    <row r="767" spans="3:4">
      <c r="C767" s="8"/>
    </row>
    <row r="768" spans="3:4">
      <c r="C768" s="8"/>
    </row>
    <row r="769" spans="3:4">
      <c r="C769" s="8"/>
    </row>
    <row r="770" spans="3:4">
      <c r="C770" s="8"/>
    </row>
    <row r="771" spans="3:4">
      <c r="C771" s="8"/>
      <c r="D771" s="29"/>
    </row>
    <row r="772" spans="3:4">
      <c r="C772" s="8"/>
      <c r="D772" s="29"/>
    </row>
    <row r="773" spans="3:4">
      <c r="C773" s="8"/>
      <c r="D773" s="29"/>
    </row>
    <row r="774" spans="3:4">
      <c r="C774" s="8"/>
      <c r="D774" s="29"/>
    </row>
    <row r="775" spans="3:4">
      <c r="C775" s="8"/>
    </row>
    <row r="776" spans="3:4">
      <c r="C776" s="8"/>
    </row>
    <row r="777" spans="3:4">
      <c r="C777" s="8"/>
    </row>
    <row r="778" spans="3:4">
      <c r="C778" s="8"/>
    </row>
    <row r="779" spans="3:4">
      <c r="C779" s="8"/>
    </row>
    <row r="780" spans="3:4">
      <c r="C780" s="8"/>
    </row>
    <row r="781" spans="3:4">
      <c r="C781" s="8"/>
    </row>
    <row r="782" spans="3:4">
      <c r="C782" s="8"/>
    </row>
    <row r="783" spans="3:4">
      <c r="C783" s="8"/>
    </row>
    <row r="784" spans="3:4">
      <c r="C784" s="8"/>
    </row>
    <row r="785" spans="3:4">
      <c r="C785" s="8"/>
    </row>
    <row r="786" spans="3:4">
      <c r="C786" s="8"/>
    </row>
    <row r="787" spans="3:4">
      <c r="C787" s="8"/>
    </row>
    <row r="788" spans="3:4">
      <c r="C788" s="8"/>
    </row>
    <row r="789" spans="3:4">
      <c r="C789" s="8"/>
    </row>
    <row r="790" spans="3:4">
      <c r="C790" s="8"/>
    </row>
    <row r="791" spans="3:4">
      <c r="C791" s="8"/>
    </row>
    <row r="792" spans="3:4">
      <c r="C792" s="8"/>
      <c r="D792" s="29"/>
    </row>
    <row r="793" spans="3:4">
      <c r="C793" s="8"/>
      <c r="D793" s="29"/>
    </row>
    <row r="794" spans="3:4">
      <c r="C794" s="8"/>
      <c r="D794" s="29"/>
    </row>
    <row r="795" spans="3:4">
      <c r="C795" s="8"/>
      <c r="D795" s="29"/>
    </row>
    <row r="796" spans="3:4">
      <c r="C796" s="8"/>
      <c r="D796" s="29"/>
    </row>
    <row r="797" spans="3:4">
      <c r="C797" s="8"/>
      <c r="D797" s="29"/>
    </row>
    <row r="798" spans="3:4">
      <c r="C798" s="8"/>
      <c r="D798" s="29"/>
    </row>
    <row r="799" spans="3:4">
      <c r="C799" s="8"/>
      <c r="D799" s="29"/>
    </row>
    <row r="800" spans="3:4">
      <c r="C800" s="8"/>
      <c r="D800" s="29"/>
    </row>
    <row r="801" spans="3:4">
      <c r="C801" s="8"/>
      <c r="D801" s="29"/>
    </row>
    <row r="802" spans="3:4">
      <c r="C802" s="8"/>
      <c r="D802" s="29"/>
    </row>
    <row r="803" spans="3:4">
      <c r="C803" s="8"/>
      <c r="D803" s="29"/>
    </row>
    <row r="804" spans="3:4">
      <c r="C804" s="8"/>
      <c r="D804" s="29"/>
    </row>
    <row r="805" spans="3:4">
      <c r="C805" s="8"/>
      <c r="D805" s="29"/>
    </row>
    <row r="806" spans="3:4">
      <c r="C806" s="8"/>
      <c r="D806" s="29"/>
    </row>
    <row r="807" spans="3:4">
      <c r="C807" s="8"/>
      <c r="D807" s="29"/>
    </row>
    <row r="808" spans="3:4">
      <c r="C808" s="8"/>
      <c r="D808" s="29"/>
    </row>
    <row r="809" spans="3:4">
      <c r="C809" s="8"/>
      <c r="D809" s="29"/>
    </row>
    <row r="810" spans="3:4">
      <c r="C810" s="8"/>
      <c r="D810" s="29"/>
    </row>
    <row r="811" spans="3:4">
      <c r="C811" s="8"/>
    </row>
    <row r="812" spans="3:4">
      <c r="C812" s="8"/>
    </row>
    <row r="813" spans="3:4">
      <c r="C813" s="8"/>
    </row>
    <row r="814" spans="3:4">
      <c r="C814" s="8"/>
    </row>
    <row r="815" spans="3:4">
      <c r="C815" s="8"/>
    </row>
    <row r="816" spans="3:4">
      <c r="C816" s="8"/>
    </row>
    <row r="817" spans="3:9">
      <c r="C817" s="8"/>
    </row>
    <row r="818" spans="3:9">
      <c r="C818" s="8"/>
    </row>
    <row r="819" spans="3:9">
      <c r="C819" s="8"/>
    </row>
    <row r="820" spans="3:9">
      <c r="C820" s="8"/>
    </row>
    <row r="821" spans="3:9">
      <c r="C821" s="8"/>
    </row>
    <row r="822" spans="3:9">
      <c r="C822" s="8"/>
    </row>
    <row r="823" spans="3:9">
      <c r="C823" s="8"/>
    </row>
    <row r="824" spans="3:9">
      <c r="C824" s="8"/>
    </row>
    <row r="825" spans="3:9">
      <c r="C825" s="8"/>
    </row>
    <row r="826" spans="3:9">
      <c r="C826" s="8"/>
      <c r="D826" s="29"/>
    </row>
    <row r="827" spans="3:9">
      <c r="C827" s="8"/>
      <c r="D827" s="29"/>
      <c r="E827" s="32"/>
      <c r="F827" s="32"/>
      <c r="G827" s="31"/>
      <c r="H827" s="31"/>
      <c r="I827" s="31"/>
    </row>
    <row r="828" spans="3:9">
      <c r="C828" s="8"/>
    </row>
    <row r="829" spans="3:9">
      <c r="C829" s="8"/>
    </row>
    <row r="830" spans="3:9">
      <c r="C830" s="8"/>
    </row>
    <row r="831" spans="3:9">
      <c r="C831" s="8"/>
      <c r="H831" s="33"/>
    </row>
    <row r="832" spans="3:9">
      <c r="C832" s="8"/>
      <c r="G832" s="41"/>
      <c r="H832" s="41"/>
    </row>
    <row r="833" spans="3:9">
      <c r="C833" s="8"/>
      <c r="G833" s="41"/>
      <c r="H833" s="41"/>
    </row>
    <row r="834" spans="3:9">
      <c r="C834" s="8"/>
      <c r="G834" s="41"/>
      <c r="H834" s="41"/>
    </row>
    <row r="835" spans="3:9">
      <c r="C835" s="8"/>
    </row>
    <row r="836" spans="3:9">
      <c r="C836" s="8"/>
    </row>
    <row r="837" spans="3:9">
      <c r="C837" s="8"/>
    </row>
    <row r="838" spans="3:9">
      <c r="C838" s="8"/>
    </row>
    <row r="839" spans="3:9">
      <c r="C839" s="8"/>
    </row>
    <row r="840" spans="3:9">
      <c r="C840" s="8"/>
    </row>
    <row r="841" spans="3:9">
      <c r="C841" s="8"/>
    </row>
    <row r="842" spans="3:9">
      <c r="C842" s="8"/>
    </row>
    <row r="843" spans="3:9">
      <c r="C843" s="8"/>
    </row>
    <row r="844" spans="3:9">
      <c r="C844" s="8"/>
    </row>
    <row r="845" spans="3:9">
      <c r="C845" s="8"/>
    </row>
    <row r="846" spans="3:9">
      <c r="C846" s="8"/>
    </row>
    <row r="847" spans="3:9">
      <c r="C847" s="8"/>
      <c r="D847" s="29"/>
    </row>
    <row r="848" spans="3:9">
      <c r="C848" s="8"/>
      <c r="D848" s="29"/>
      <c r="E848" s="32"/>
      <c r="F848" s="32"/>
      <c r="G848" s="31"/>
      <c r="H848" s="31"/>
      <c r="I848" s="31"/>
    </row>
    <row r="849" spans="3:4">
      <c r="C849" s="8"/>
    </row>
    <row r="850" spans="3:4">
      <c r="C850" s="8"/>
    </row>
    <row r="851" spans="3:4">
      <c r="C851" s="8"/>
    </row>
    <row r="852" spans="3:4">
      <c r="C852" s="8"/>
    </row>
    <row r="853" spans="3:4">
      <c r="C853" s="8"/>
    </row>
    <row r="854" spans="3:4">
      <c r="C854" s="8"/>
    </row>
    <row r="855" spans="3:4">
      <c r="C855" s="8"/>
    </row>
    <row r="856" spans="3:4">
      <c r="C856" s="8"/>
    </row>
    <row r="857" spans="3:4">
      <c r="C857" s="8"/>
    </row>
    <row r="858" spans="3:4">
      <c r="C858" s="8"/>
    </row>
    <row r="859" spans="3:4">
      <c r="C859" s="8"/>
    </row>
    <row r="860" spans="3:4">
      <c r="C860" s="8"/>
    </row>
    <row r="861" spans="3:4">
      <c r="C861" s="8"/>
    </row>
    <row r="862" spans="3:4">
      <c r="C862" s="8"/>
    </row>
    <row r="863" spans="3:4">
      <c r="C863" s="8"/>
    </row>
    <row r="864" spans="3:4">
      <c r="C864" s="8"/>
      <c r="D864" s="29"/>
    </row>
    <row r="865" spans="3:9">
      <c r="C865" s="8"/>
      <c r="D865" s="29"/>
    </row>
    <row r="866" spans="3:9">
      <c r="C866" s="8"/>
      <c r="D866" s="29"/>
    </row>
    <row r="867" spans="3:9">
      <c r="C867" s="8"/>
      <c r="D867" s="29"/>
    </row>
    <row r="868" spans="3:9">
      <c r="C868" s="8"/>
      <c r="D868" s="29"/>
    </row>
    <row r="869" spans="3:9">
      <c r="C869" s="8"/>
      <c r="D869" s="29"/>
    </row>
    <row r="870" spans="3:9">
      <c r="C870" s="8"/>
      <c r="D870" s="29"/>
    </row>
    <row r="871" spans="3:9">
      <c r="C871" s="8"/>
      <c r="D871" s="29"/>
    </row>
    <row r="872" spans="3:9">
      <c r="C872" s="8"/>
      <c r="D872" s="29"/>
    </row>
    <row r="873" spans="3:9">
      <c r="C873" s="8"/>
      <c r="D873" s="29"/>
    </row>
    <row r="874" spans="3:9">
      <c r="C874" s="8"/>
      <c r="D874" s="29"/>
    </row>
    <row r="875" spans="3:9">
      <c r="C875" s="8"/>
      <c r="D875" s="29"/>
    </row>
    <row r="876" spans="3:9">
      <c r="C876" s="8"/>
      <c r="D876" s="29"/>
      <c r="E876" s="32"/>
      <c r="F876" s="32"/>
      <c r="G876" s="31"/>
      <c r="H876" s="31"/>
      <c r="I876" s="31"/>
    </row>
    <row r="877" spans="3:9">
      <c r="C877" s="8"/>
    </row>
    <row r="878" spans="3:9">
      <c r="C878" s="8"/>
    </row>
    <row r="879" spans="3:9">
      <c r="C879" s="8"/>
      <c r="D879" s="29"/>
    </row>
    <row r="880" spans="3:9">
      <c r="C880" s="8"/>
      <c r="D880" s="29"/>
    </row>
    <row r="881" spans="3:8">
      <c r="C881" s="8"/>
      <c r="D881" s="29"/>
    </row>
    <row r="882" spans="3:8">
      <c r="C882" s="8"/>
      <c r="D882" s="29"/>
    </row>
    <row r="883" spans="3:8">
      <c r="C883" s="8"/>
      <c r="D883" s="29"/>
    </row>
    <row r="884" spans="3:8">
      <c r="C884" s="8"/>
      <c r="D884" s="29"/>
    </row>
    <row r="885" spans="3:8">
      <c r="C885" s="8"/>
      <c r="D885" s="29"/>
    </row>
    <row r="886" spans="3:8">
      <c r="C886" s="8"/>
      <c r="D886" s="29"/>
    </row>
    <row r="887" spans="3:8">
      <c r="C887" s="8"/>
      <c r="D887" s="29"/>
    </row>
    <row r="888" spans="3:8">
      <c r="C888" s="8"/>
      <c r="D888" s="29"/>
    </row>
    <row r="889" spans="3:8">
      <c r="C889" s="8"/>
      <c r="D889" s="29"/>
    </row>
    <row r="890" spans="3:8">
      <c r="C890" s="8"/>
      <c r="D890" s="29"/>
    </row>
    <row r="891" spans="3:8">
      <c r="C891" s="8"/>
      <c r="D891" s="29"/>
    </row>
    <row r="892" spans="3:8">
      <c r="C892" s="8"/>
      <c r="D892" s="29"/>
    </row>
    <row r="893" spans="3:8">
      <c r="C893" s="8"/>
      <c r="D893" s="29"/>
    </row>
    <row r="894" spans="3:8">
      <c r="C894" s="8"/>
      <c r="D894" s="29"/>
      <c r="H894" s="33"/>
    </row>
    <row r="895" spans="3:8">
      <c r="C895" s="8"/>
      <c r="D895" s="29"/>
      <c r="G895" s="41"/>
      <c r="H895" s="41"/>
    </row>
    <row r="896" spans="3:8">
      <c r="C896" s="8"/>
      <c r="D896" s="29"/>
      <c r="G896" s="41"/>
      <c r="H896" s="41"/>
    </row>
    <row r="897" spans="3:8">
      <c r="C897" s="8"/>
      <c r="D897" s="29"/>
      <c r="G897" s="41"/>
      <c r="H897" s="41"/>
    </row>
    <row r="898" spans="3:8">
      <c r="C898" s="8"/>
      <c r="D898" s="29"/>
    </row>
    <row r="899" spans="3:8">
      <c r="C899" s="8"/>
      <c r="D899" s="29"/>
    </row>
    <row r="900" spans="3:8">
      <c r="C900" s="8"/>
      <c r="D900" s="29"/>
    </row>
    <row r="901" spans="3:8">
      <c r="C901" s="8"/>
      <c r="D901" s="29"/>
    </row>
    <row r="902" spans="3:8">
      <c r="C902" s="8"/>
      <c r="D902" s="29"/>
    </row>
    <row r="903" spans="3:8">
      <c r="C903" s="8"/>
      <c r="D903" s="29"/>
    </row>
    <row r="904" spans="3:8">
      <c r="C904" s="8"/>
      <c r="D904" s="29"/>
    </row>
    <row r="905" spans="3:8">
      <c r="C905" s="8"/>
      <c r="D905" s="29"/>
    </row>
    <row r="906" spans="3:8">
      <c r="C906" s="8"/>
      <c r="D906" s="29"/>
    </row>
    <row r="907" spans="3:8">
      <c r="C907" s="8"/>
      <c r="D907" s="29"/>
    </row>
    <row r="908" spans="3:8">
      <c r="C908" s="8"/>
      <c r="D908" s="29"/>
    </row>
    <row r="909" spans="3:8">
      <c r="C909" s="8"/>
      <c r="D909" s="29"/>
    </row>
    <row r="910" spans="3:8">
      <c r="C910" s="8"/>
      <c r="D910" s="29"/>
    </row>
    <row r="911" spans="3:8">
      <c r="C911" s="8"/>
      <c r="D911" s="29"/>
    </row>
    <row r="912" spans="3:8">
      <c r="C912" s="8"/>
      <c r="D912" s="29"/>
    </row>
    <row r="913" spans="3:11">
      <c r="C913" s="8"/>
      <c r="D913" s="29"/>
    </row>
    <row r="914" spans="3:11">
      <c r="C914" s="8"/>
      <c r="D914" s="29"/>
    </row>
    <row r="915" spans="3:11">
      <c r="C915" s="8"/>
      <c r="D915" s="29"/>
    </row>
    <row r="916" spans="3:11">
      <c r="C916" s="8"/>
      <c r="D916" s="29"/>
    </row>
    <row r="917" spans="3:11">
      <c r="C917" s="8"/>
      <c r="D917" s="29"/>
    </row>
    <row r="918" spans="3:11">
      <c r="C918" s="8"/>
      <c r="D918" s="29"/>
    </row>
    <row r="919" spans="3:11">
      <c r="C919" s="8"/>
      <c r="D919" s="29"/>
    </row>
    <row r="920" spans="3:11">
      <c r="C920" s="8"/>
      <c r="D920" s="29"/>
    </row>
    <row r="921" spans="3:11">
      <c r="C921" s="8"/>
      <c r="D921" s="29"/>
    </row>
    <row r="922" spans="3:11">
      <c r="C922" s="8"/>
      <c r="D922" s="29"/>
    </row>
    <row r="923" spans="3:11">
      <c r="C923" s="8"/>
      <c r="D923" s="29"/>
      <c r="G923" s="41"/>
    </row>
    <row r="924" spans="3:11">
      <c r="C924" s="8"/>
      <c r="D924" s="29"/>
      <c r="G924" s="41"/>
      <c r="H924" s="44"/>
    </row>
    <row r="925" spans="3:11">
      <c r="C925" s="8"/>
      <c r="D925" s="29"/>
      <c r="G925" s="41"/>
      <c r="H925" s="44"/>
    </row>
    <row r="926" spans="3:11">
      <c r="C926" s="8"/>
      <c r="D926" s="29"/>
      <c r="G926" s="41"/>
    </row>
    <row r="927" spans="3:11">
      <c r="C927" s="8"/>
      <c r="D927" s="29"/>
      <c r="H927" s="44"/>
      <c r="K927" s="43"/>
    </row>
    <row r="928" spans="3:11">
      <c r="C928" s="8"/>
      <c r="D928" s="29"/>
      <c r="H928" s="41"/>
    </row>
    <row r="929" spans="3:10">
      <c r="C929" s="8"/>
      <c r="D929" s="29"/>
    </row>
    <row r="930" spans="3:10">
      <c r="C930" s="8"/>
      <c r="D930" s="29"/>
    </row>
    <row r="931" spans="3:10">
      <c r="C931" s="8"/>
      <c r="D931" s="29"/>
    </row>
    <row r="932" spans="3:10">
      <c r="C932" s="8"/>
      <c r="D932" s="29"/>
    </row>
    <row r="933" spans="3:10">
      <c r="C933" s="8"/>
      <c r="D933" s="29"/>
    </row>
    <row r="934" spans="3:10">
      <c r="C934" s="8"/>
      <c r="D934" s="29"/>
    </row>
    <row r="935" spans="3:10">
      <c r="C935" s="8"/>
      <c r="D935" s="29"/>
      <c r="H935" s="33"/>
      <c r="J935" s="43"/>
    </row>
    <row r="936" spans="3:10">
      <c r="C936" s="8"/>
      <c r="D936" s="29"/>
      <c r="G936" s="41"/>
      <c r="H936" s="41"/>
    </row>
    <row r="937" spans="3:10">
      <c r="C937" s="8"/>
      <c r="D937" s="29"/>
      <c r="G937" s="41"/>
      <c r="H937" s="41"/>
    </row>
    <row r="938" spans="3:10">
      <c r="C938" s="8"/>
      <c r="D938" s="29"/>
      <c r="G938" s="41"/>
      <c r="H938" s="41"/>
    </row>
    <row r="939" spans="3:10">
      <c r="C939" s="8"/>
      <c r="D939" s="29"/>
    </row>
    <row r="940" spans="3:10">
      <c r="C940" s="8"/>
      <c r="D940" s="29"/>
    </row>
    <row r="941" spans="3:10">
      <c r="C941" s="8"/>
      <c r="D941" s="29"/>
    </row>
    <row r="942" spans="3:10">
      <c r="C942" s="8"/>
      <c r="D942" s="29"/>
    </row>
    <row r="943" spans="3:10">
      <c r="C943" s="8"/>
      <c r="D943" s="29"/>
    </row>
    <row r="944" spans="3:10">
      <c r="C944" s="8"/>
      <c r="D944" s="29"/>
    </row>
    <row r="945" spans="3:4">
      <c r="C945" s="8"/>
      <c r="D945" s="29"/>
    </row>
    <row r="946" spans="3:4">
      <c r="C946" s="8"/>
      <c r="D946" s="29"/>
    </row>
    <row r="947" spans="3:4">
      <c r="C947" s="8"/>
      <c r="D947" s="29"/>
    </row>
    <row r="948" spans="3:4">
      <c r="C948" s="8"/>
      <c r="D948" s="29"/>
    </row>
    <row r="949" spans="3:4">
      <c r="C949" s="8"/>
      <c r="D949" s="29"/>
    </row>
    <row r="950" spans="3:4">
      <c r="C950" s="8"/>
    </row>
    <row r="951" spans="3:4">
      <c r="C951" s="8"/>
    </row>
    <row r="952" spans="3:4">
      <c r="C952" s="8"/>
    </row>
    <row r="953" spans="3:4">
      <c r="C953" s="8"/>
    </row>
    <row r="954" spans="3:4">
      <c r="C954" s="8"/>
    </row>
    <row r="955" spans="3:4">
      <c r="C955" s="8"/>
    </row>
    <row r="956" spans="3:4">
      <c r="C956" s="8"/>
    </row>
    <row r="957" spans="3:4">
      <c r="C957" s="8"/>
    </row>
    <row r="958" spans="3:4">
      <c r="C958" s="8"/>
    </row>
    <row r="959" spans="3:4">
      <c r="C959" s="8"/>
    </row>
    <row r="960" spans="3:4">
      <c r="C960" s="8"/>
    </row>
    <row r="961" spans="3:3">
      <c r="C961" s="8"/>
    </row>
    <row r="962" spans="3:3">
      <c r="C962" s="8"/>
    </row>
    <row r="963" spans="3:3">
      <c r="C963" s="8"/>
    </row>
    <row r="964" spans="3:3">
      <c r="C964" s="8"/>
    </row>
    <row r="965" spans="3:3">
      <c r="C965" s="8"/>
    </row>
    <row r="966" spans="3:3">
      <c r="C966" s="8"/>
    </row>
    <row r="967" spans="3:3">
      <c r="C967" s="8"/>
    </row>
    <row r="968" spans="3:3">
      <c r="C968" s="8"/>
    </row>
    <row r="969" spans="3:3">
      <c r="C969" s="8"/>
    </row>
    <row r="970" spans="3:3">
      <c r="C970" s="8"/>
    </row>
    <row r="971" spans="3:3">
      <c r="C971" s="8"/>
    </row>
    <row r="972" spans="3:3">
      <c r="C972" s="8"/>
    </row>
    <row r="973" spans="3:3">
      <c r="C973" s="8"/>
    </row>
    <row r="974" spans="3:3">
      <c r="C974" s="8"/>
    </row>
    <row r="975" spans="3:3">
      <c r="C975" s="8"/>
    </row>
    <row r="976" spans="3:3">
      <c r="C976" s="8"/>
    </row>
    <row r="977" spans="3:3">
      <c r="C977" s="8"/>
    </row>
    <row r="978" spans="3:3">
      <c r="C978" s="8"/>
    </row>
    <row r="979" spans="3:3">
      <c r="C979" s="8"/>
    </row>
    <row r="980" spans="3:3">
      <c r="C980" s="8"/>
    </row>
    <row r="981" spans="3:3">
      <c r="C981" s="8"/>
    </row>
    <row r="982" spans="3:3">
      <c r="C982" s="8"/>
    </row>
    <row r="983" spans="3:3">
      <c r="C983" s="8"/>
    </row>
    <row r="984" spans="3:3">
      <c r="C984" s="8"/>
    </row>
    <row r="985" spans="3:3">
      <c r="C985" s="8"/>
    </row>
    <row r="986" spans="3:3">
      <c r="C986" s="8"/>
    </row>
    <row r="987" spans="3:3">
      <c r="C987" s="8"/>
    </row>
    <row r="988" spans="3:3">
      <c r="C988" s="8"/>
    </row>
    <row r="989" spans="3:3">
      <c r="C989" s="8"/>
    </row>
    <row r="990" spans="3:3">
      <c r="C990" s="8"/>
    </row>
    <row r="991" spans="3:3">
      <c r="C991" s="8"/>
    </row>
    <row r="992" spans="3:3">
      <c r="C992" s="8"/>
    </row>
    <row r="993" spans="3:3">
      <c r="C993" s="8"/>
    </row>
    <row r="994" spans="3:3">
      <c r="C994" s="8"/>
    </row>
    <row r="995" spans="3:3">
      <c r="C995" s="8"/>
    </row>
    <row r="996" spans="3:3">
      <c r="C996" s="8"/>
    </row>
    <row r="997" spans="3:3">
      <c r="C997" s="8"/>
    </row>
    <row r="998" spans="3:3">
      <c r="C998" s="8"/>
    </row>
    <row r="999" spans="3:3">
      <c r="C999" s="8"/>
    </row>
    <row r="1000" spans="3:3">
      <c r="C1000" s="8"/>
    </row>
    <row r="1001" spans="3:3">
      <c r="C1001" s="8"/>
    </row>
    <row r="1002" spans="3:3">
      <c r="C1002" s="8"/>
    </row>
    <row r="1003" spans="3:3">
      <c r="C1003" s="8"/>
    </row>
    <row r="1004" spans="3:3">
      <c r="C1004" s="8"/>
    </row>
    <row r="1005" spans="3:3">
      <c r="C1005" s="8"/>
    </row>
    <row r="1006" spans="3:3">
      <c r="C1006" s="8"/>
    </row>
    <row r="1007" spans="3:3">
      <c r="C1007" s="8"/>
    </row>
    <row r="1008" spans="3:3">
      <c r="C1008" s="8"/>
    </row>
    <row r="1009" spans="3:3">
      <c r="C1009" s="8"/>
    </row>
    <row r="1010" spans="3:3">
      <c r="C1010" s="8"/>
    </row>
    <row r="1011" spans="3:3">
      <c r="C1011" s="8"/>
    </row>
    <row r="1012" spans="3:3">
      <c r="C1012" s="8"/>
    </row>
    <row r="1013" spans="3:3">
      <c r="C1013" s="8"/>
    </row>
    <row r="1014" spans="3:3">
      <c r="C1014" s="8"/>
    </row>
  </sheetData>
  <phoneticPr fontId="7" type="noConversion"/>
  <pageMargins left="0.7" right="0.7" top="0.75" bottom="0.75" header="0.3" footer="0.3"/>
  <ignoredErrors>
    <ignoredError sqref="C10:C27" unlockedFormula="1"/>
  </ignoredErrors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Dato inválido" error="Valor no válido. Sólo los especificados en la lista" xr:uid="{00000000-0002-0000-0200-000000000000}">
          <x14:formula1>
            <xm:f>Valores!$A$3:$A$8</xm:f>
          </x14:formula1>
          <xm:sqref>F302:F363 F367 F373:F386 F391:F561 F564:F567 F571:F587 F589:F613 F617:F669 F671:F701 F707:F1140 F30:F294 F2:F28</xm:sqref>
        </x14:dataValidation>
        <x14:dataValidation type="list" allowBlank="1" showInputMessage="1" showErrorMessage="1" errorTitle="Dato inválido" error="Valor no válido. Sólo los especificados en la lista" xr:uid="{00000000-0002-0000-0200-000001000000}">
          <x14:formula1>
            <xm:f>Valores!$D$3:$D$4</xm:f>
          </x14:formula1>
          <xm:sqref>E302:E363 E373:E386 E391:E561 E564:E567 E571:E587 E589:E613 E617:E669 E671:E701 E710:E1140 E30:E294 E2:E28</xm:sqref>
        </x14:dataValidation>
        <x14:dataValidation type="list" allowBlank="1" showInputMessage="1" showErrorMessage="1" xr:uid="{50139C49-8F5C-4636-B7E8-872EEA9FD765}">
          <x14:formula1>
            <xm:f>Valores!$G$3:$G$6</xm:f>
          </x14:formula1>
          <xm:sqref>A2:A20 A22:A590</xm:sqref>
        </x14:dataValidation>
        <x14:dataValidation type="list" allowBlank="1" showInputMessage="1" showErrorMessage="1" xr:uid="{6CC59702-60AB-4633-B2BA-D43477096A9A}">
          <x14:formula1>
            <xm:f>Valores!$G$3:$G$7</xm:f>
          </x14:formula1>
          <xm:sqref>A21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677CA-F479-40EA-ADE1-C0FFE7025556}">
  <dimension ref="A1:I7"/>
  <sheetViews>
    <sheetView workbookViewId="0">
      <selection activeCell="B37" sqref="B37"/>
    </sheetView>
  </sheetViews>
  <sheetFormatPr defaultColWidth="9.140625" defaultRowHeight="15"/>
  <cols>
    <col min="1" max="1" width="19.7109375" customWidth="1"/>
    <col min="2" max="2" width="22.5703125" customWidth="1"/>
    <col min="3" max="3" width="24.140625" customWidth="1"/>
    <col min="4" max="4" width="27.85546875" customWidth="1"/>
    <col min="5" max="5" width="21.5703125" customWidth="1"/>
    <col min="6" max="6" width="35.7109375" customWidth="1"/>
    <col min="7" max="7" width="67.42578125" customWidth="1"/>
    <col min="8" max="8" width="56.5703125" customWidth="1"/>
    <col min="9" max="9" width="32.85546875" customWidth="1"/>
  </cols>
  <sheetData>
    <row r="1" spans="1:9">
      <c r="A1" s="5" t="s">
        <v>2</v>
      </c>
      <c r="B1" s="12" t="s">
        <v>54</v>
      </c>
      <c r="C1" s="13" t="s">
        <v>54</v>
      </c>
      <c r="D1" s="45" t="s">
        <v>55</v>
      </c>
      <c r="E1" s="46" t="s">
        <v>56</v>
      </c>
      <c r="F1" s="14" t="s">
        <v>0</v>
      </c>
      <c r="G1" s="14" t="s">
        <v>57</v>
      </c>
      <c r="H1" s="14" t="s">
        <v>58</v>
      </c>
      <c r="I1" s="14" t="s">
        <v>59</v>
      </c>
    </row>
    <row r="2" spans="1:9">
      <c r="A2" s="6" t="s">
        <v>20</v>
      </c>
      <c r="B2" s="7"/>
      <c r="C2" s="8"/>
      <c r="D2" s="9"/>
    </row>
    <row r="3" spans="1:9">
      <c r="A3" s="6" t="s">
        <v>20</v>
      </c>
      <c r="B3" s="7"/>
      <c r="C3" s="8"/>
      <c r="D3" s="9"/>
    </row>
    <row r="4" spans="1:9">
      <c r="A4" s="6" t="s">
        <v>20</v>
      </c>
      <c r="B4" s="7"/>
      <c r="C4" s="8"/>
      <c r="D4" s="9"/>
    </row>
    <row r="5" spans="1:9">
      <c r="A5" s="6" t="s">
        <v>20</v>
      </c>
      <c r="B5" s="7"/>
      <c r="C5" s="8"/>
      <c r="D5" s="9"/>
    </row>
    <row r="6" spans="1:9">
      <c r="A6" s="6" t="s">
        <v>20</v>
      </c>
      <c r="B6" s="7"/>
      <c r="C6" s="8"/>
      <c r="D6" s="9"/>
    </row>
    <row r="7" spans="1:9">
      <c r="A7" s="6" t="s">
        <v>20</v>
      </c>
      <c r="B7" s="7"/>
      <c r="C7" s="8"/>
      <c r="D7" s="9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8EDF72-F7EE-4D06-96A4-A0684BE88D95}">
          <x14:formula1>
            <xm:f>Valores!$G$3:$G$6</xm:f>
          </x14:formula1>
          <xm:sqref>A2:A7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E815F-AE22-4567-BE60-273F13DBE5D0}">
  <dimension ref="A1:J26"/>
  <sheetViews>
    <sheetView workbookViewId="0">
      <selection activeCell="H8" sqref="H8"/>
    </sheetView>
  </sheetViews>
  <sheetFormatPr defaultColWidth="9.140625" defaultRowHeight="15"/>
  <cols>
    <col min="1" max="1" width="19.7109375" customWidth="1"/>
    <col min="2" max="2" width="22.5703125" customWidth="1"/>
    <col min="3" max="3" width="24.140625" customWidth="1"/>
    <col min="4" max="4" width="27.85546875" customWidth="1"/>
    <col min="5" max="5" width="21.5703125" customWidth="1"/>
    <col min="6" max="6" width="35.7109375" customWidth="1"/>
    <col min="7" max="7" width="67.42578125" customWidth="1"/>
    <col min="8" max="8" width="105.7109375" customWidth="1"/>
    <col min="9" max="9" width="57.85546875" customWidth="1"/>
  </cols>
  <sheetData>
    <row r="1" spans="1:10">
      <c r="A1" s="5" t="s">
        <v>2</v>
      </c>
      <c r="B1" s="12" t="s">
        <v>54</v>
      </c>
      <c r="C1" s="13" t="s">
        <v>54</v>
      </c>
      <c r="D1" s="45" t="s">
        <v>55</v>
      </c>
      <c r="E1" s="46" t="s">
        <v>56</v>
      </c>
      <c r="F1" s="14" t="s">
        <v>0</v>
      </c>
      <c r="G1" s="14" t="s">
        <v>57</v>
      </c>
      <c r="H1" s="14" t="s">
        <v>58</v>
      </c>
      <c r="I1" s="14" t="s">
        <v>59</v>
      </c>
    </row>
    <row r="2" spans="1:10">
      <c r="A2" s="6" t="s">
        <v>24</v>
      </c>
      <c r="B2" s="48">
        <v>1</v>
      </c>
      <c r="C2" s="8" t="str">
        <f t="shared" ref="C2:C7" si="0">RIGHT("0000"&amp;B2,5)</f>
        <v>00001</v>
      </c>
      <c r="D2" s="9" t="str">
        <f>IF(AND(EXACT(LEN(TRIM(H2)),0), EXACT(LEN(TRIM(G2)),0)),"",A2&amp;"_"&amp;VLOOKUP(E2,Valores!$D$3:$E$4,2,FALSE)&amp;"_"&amp;VLOOKUP(F2,Valores!$A$3:$B$8,2,FALSE)&amp;"_"&amp;C2)</f>
        <v>Pago_USU_EXI_00001</v>
      </c>
      <c r="E2" s="6" t="s">
        <v>8</v>
      </c>
      <c r="F2" s="6" t="s">
        <v>12</v>
      </c>
      <c r="G2" t="s">
        <v>162</v>
      </c>
      <c r="H2" t="s">
        <v>163</v>
      </c>
      <c r="I2" t="s">
        <v>164</v>
      </c>
    </row>
    <row r="3" spans="1:10">
      <c r="A3" s="6" t="s">
        <v>24</v>
      </c>
      <c r="B3" s="48">
        <v>2</v>
      </c>
      <c r="C3" s="8" t="str">
        <f t="shared" si="0"/>
        <v>00002</v>
      </c>
      <c r="D3" s="9" t="str">
        <f>IF(AND(EXACT(LEN(TRIM(H3)),0), EXACT(LEN(TRIM(G3)),0)),"",A3&amp;"_"&amp;VLOOKUP(E3,Valores!$D$3:$E$4,2,FALSE)&amp;"_"&amp;VLOOKUP(F3,Valores!$A$3:$B$8,2,FALSE)&amp;"_"&amp;C3)</f>
        <v>Pago_USU_EXI_00002</v>
      </c>
      <c r="E3" s="6" t="s">
        <v>8</v>
      </c>
      <c r="F3" s="6" t="s">
        <v>12</v>
      </c>
      <c r="G3" t="s">
        <v>165</v>
      </c>
      <c r="H3" t="s">
        <v>166</v>
      </c>
      <c r="I3" t="s">
        <v>167</v>
      </c>
    </row>
    <row r="4" spans="1:10">
      <c r="A4" s="6" t="s">
        <v>24</v>
      </c>
      <c r="B4" s="48">
        <v>3</v>
      </c>
      <c r="C4" s="8" t="str">
        <f t="shared" si="0"/>
        <v>00003</v>
      </c>
      <c r="D4" s="9" t="str">
        <f>IF(AND(EXACT(LEN(TRIM(H4)),0), EXACT(LEN(TRIM(G4)),0)),"",A4&amp;"_"&amp;VLOOKUP(E4,Valores!$D$3:$E$4,2,FALSE)&amp;"_"&amp;VLOOKUP(F4,Valores!$A$3:$B$8,2,FALSE)&amp;"_"&amp;C4)</f>
        <v>Pago_USU_EXI_00003</v>
      </c>
      <c r="E4" s="6" t="s">
        <v>8</v>
      </c>
      <c r="F4" s="6" t="s">
        <v>12</v>
      </c>
      <c r="G4" t="s">
        <v>168</v>
      </c>
      <c r="H4" t="s">
        <v>169</v>
      </c>
      <c r="I4" t="s">
        <v>170</v>
      </c>
    </row>
    <row r="5" spans="1:10">
      <c r="A5" s="6" t="s">
        <v>24</v>
      </c>
      <c r="B5" s="48">
        <v>4</v>
      </c>
      <c r="C5" s="8" t="str">
        <f t="shared" si="0"/>
        <v>00004</v>
      </c>
      <c r="D5" s="9" t="str">
        <f>IF(AND(EXACT(LEN(TRIM(H5)),0), EXACT(LEN(TRIM(G5)),0)),"",A5&amp;"_"&amp;VLOOKUP(E5,Valores!$D$3:$E$4,2,FALSE)&amp;"_"&amp;VLOOKUP(F5,Valores!$A$3:$B$8,2,FALSE)&amp;"_"&amp;C5)</f>
        <v>Pago_USU_ERR_00004</v>
      </c>
      <c r="E5" s="6" t="s">
        <v>8</v>
      </c>
      <c r="F5" s="6" t="s">
        <v>26</v>
      </c>
      <c r="G5" t="s">
        <v>171</v>
      </c>
      <c r="H5" t="s">
        <v>172</v>
      </c>
      <c r="I5" t="s">
        <v>173</v>
      </c>
    </row>
    <row r="6" spans="1:10">
      <c r="A6" s="6" t="s">
        <v>24</v>
      </c>
      <c r="B6" s="48">
        <v>5</v>
      </c>
      <c r="C6" s="8" t="str">
        <f t="shared" si="0"/>
        <v>00005</v>
      </c>
      <c r="D6" s="9" t="str">
        <f>IF(AND(EXACT(LEN(TRIM(H6)),0), EXACT(LEN(TRIM(G6)),0)),"",A6&amp;"_"&amp;VLOOKUP(E6,Valores!$D$3:$E$4,2,FALSE)&amp;"_"&amp;VLOOKUP(F6,Valores!$A$3:$B$8,2,FALSE)&amp;"_"&amp;C6)</f>
        <v>Pago_USU_INF_00005</v>
      </c>
      <c r="E6" s="6" t="s">
        <v>8</v>
      </c>
      <c r="F6" s="6" t="s">
        <v>6</v>
      </c>
      <c r="G6" t="s">
        <v>174</v>
      </c>
      <c r="H6" t="s">
        <v>175</v>
      </c>
      <c r="I6" t="s">
        <v>154</v>
      </c>
    </row>
    <row r="7" spans="1:10">
      <c r="A7" s="6" t="s">
        <v>24</v>
      </c>
      <c r="B7" s="48">
        <v>6</v>
      </c>
      <c r="C7" s="8" t="str">
        <f t="shared" si="0"/>
        <v>00006</v>
      </c>
      <c r="D7" s="9" t="str">
        <f>IF(AND(EXACT(LEN(TRIM(H7)),0), EXACT(LEN(TRIM(G7)),0)),"",A7&amp;"_"&amp;VLOOKUP(E7,Valores!$D$3:$E$4,2,FALSE)&amp;"_"&amp;VLOOKUP(F7,Valores!$A$3:$B$8,2,FALSE)&amp;"_"&amp;C7)</f>
        <v>Pago_USU_ERR_00006</v>
      </c>
      <c r="E7" s="6" t="s">
        <v>8</v>
      </c>
      <c r="F7" s="6" t="s">
        <v>26</v>
      </c>
      <c r="G7" t="s">
        <v>176</v>
      </c>
      <c r="H7" t="s">
        <v>177</v>
      </c>
      <c r="I7" t="s">
        <v>178</v>
      </c>
    </row>
    <row r="9" spans="1:10">
      <c r="A9" s="60" t="s">
        <v>179</v>
      </c>
      <c r="B9" s="60"/>
      <c r="C9" s="60"/>
      <c r="D9" s="60"/>
      <c r="E9" s="60"/>
      <c r="F9" s="60"/>
      <c r="G9" s="60"/>
      <c r="H9" s="60"/>
      <c r="I9" s="60"/>
      <c r="J9" s="60"/>
    </row>
    <row r="11" spans="1:10">
      <c r="A11" s="5" t="s">
        <v>2</v>
      </c>
      <c r="B11" s="12" t="s">
        <v>54</v>
      </c>
      <c r="C11" s="13" t="s">
        <v>54</v>
      </c>
      <c r="D11" s="45" t="s">
        <v>55</v>
      </c>
      <c r="E11" s="46" t="s">
        <v>56</v>
      </c>
      <c r="F11" s="14" t="s">
        <v>0</v>
      </c>
      <c r="G11" s="14" t="s">
        <v>57</v>
      </c>
      <c r="H11" s="14" t="s">
        <v>58</v>
      </c>
      <c r="I11" s="14" t="s">
        <v>59</v>
      </c>
    </row>
    <row r="12" spans="1:10">
      <c r="A12" s="6" t="s">
        <v>24</v>
      </c>
      <c r="B12" s="48">
        <v>7</v>
      </c>
      <c r="C12" s="8" t="str">
        <f>RIGHT("0000"&amp;B12,5)</f>
        <v>00007</v>
      </c>
      <c r="D12" s="9" t="str">
        <f>IF(AND(EXACT(LEN(TRIM(H12)),0), EXACT(LEN(TRIM(G12)),0)),"",A12&amp;"_"&amp;VLOOKUP(E12,Valores!$D$3:$E$4,2,FALSE)&amp;"_"&amp;VLOOKUP(F12,Valores!$A$3:$B$8,2,FALSE)&amp;"_"&amp;C12)</f>
        <v>Pago_USU_EXI_00007</v>
      </c>
      <c r="E12" t="s">
        <v>8</v>
      </c>
      <c r="F12" s="6" t="s">
        <v>12</v>
      </c>
      <c r="G12" t="s">
        <v>180</v>
      </c>
      <c r="H12" t="s">
        <v>181</v>
      </c>
      <c r="I12" t="s">
        <v>182</v>
      </c>
    </row>
    <row r="13" spans="1:10">
      <c r="A13" s="6" t="s">
        <v>24</v>
      </c>
      <c r="B13" s="48">
        <v>8</v>
      </c>
      <c r="C13" s="8" t="str">
        <f>RIGHT("0000"&amp;B13,5)</f>
        <v>00008</v>
      </c>
      <c r="D13" s="9" t="str">
        <f>IF(AND(EXACT(LEN(TRIM(H13)),0), EXACT(LEN(TRIM(G13)),0)),"",A13&amp;"_"&amp;VLOOKUP(E13,Valores!$D$3:$E$4,2,FALSE)&amp;"_"&amp;VLOOKUP(F13,Valores!$A$3:$B$8,2,FALSE)&amp;"_"&amp;C13)</f>
        <v>Pago_USU_ERR_00008</v>
      </c>
      <c r="E13" t="s">
        <v>8</v>
      </c>
      <c r="F13" s="6" t="s">
        <v>26</v>
      </c>
      <c r="G13" t="s">
        <v>183</v>
      </c>
      <c r="H13" t="s">
        <v>184</v>
      </c>
      <c r="I13" t="s">
        <v>185</v>
      </c>
    </row>
    <row r="14" spans="1:10">
      <c r="A14" s="6" t="s">
        <v>24</v>
      </c>
      <c r="B14" s="48">
        <v>9</v>
      </c>
      <c r="C14" s="8" t="str">
        <f>RIGHT("0000"&amp;B14,5)</f>
        <v>00009</v>
      </c>
      <c r="D14" s="9" t="str">
        <f>IF(AND(EXACT(LEN(TRIM(H14)),0), EXACT(LEN(TRIM(G14)),0)),"",A14&amp;"_"&amp;VLOOKUP(E14,Valores!$D$3:$E$4,2,FALSE)&amp;"_"&amp;VLOOKUP(F14,Valores!$A$3:$B$8,2,FALSE)&amp;"_"&amp;C14)</f>
        <v>Pago_USU_ERR_00009</v>
      </c>
      <c r="E14" t="s">
        <v>8</v>
      </c>
      <c r="F14" s="6" t="s">
        <v>26</v>
      </c>
      <c r="G14" t="s">
        <v>186</v>
      </c>
      <c r="H14" t="s">
        <v>187</v>
      </c>
      <c r="I14" t="s">
        <v>188</v>
      </c>
    </row>
    <row r="15" spans="1:10">
      <c r="A15" s="6" t="s">
        <v>24</v>
      </c>
      <c r="B15" s="48">
        <v>10</v>
      </c>
      <c r="C15" s="8" t="str">
        <f>RIGHT("0000"&amp;B15,5)</f>
        <v>00010</v>
      </c>
      <c r="D15" s="9" t="str">
        <f>IF(AND(EXACT(LEN(TRIM(H15)),0), EXACT(LEN(TRIM(G15)),0)),"",A15&amp;"_"&amp;VLOOKUP(E15,Valores!$D$3:$E$4,2,FALSE)&amp;"_"&amp;VLOOKUP(F15,Valores!$A$3:$B$8,2,FALSE)&amp;"_"&amp;C15)</f>
        <v>Pago_USU_EXI_00010</v>
      </c>
      <c r="E15" t="s">
        <v>8</v>
      </c>
      <c r="F15" s="6" t="s">
        <v>12</v>
      </c>
      <c r="G15" t="s">
        <v>189</v>
      </c>
      <c r="H15" t="s">
        <v>190</v>
      </c>
      <c r="I15" t="s">
        <v>191</v>
      </c>
    </row>
    <row r="25" spans="4:4">
      <c r="D25" s="52"/>
    </row>
    <row r="26" spans="4:4">
      <c r="D26" s="52"/>
    </row>
  </sheetData>
  <mergeCells count="1">
    <mergeCell ref="A9:J9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7050570-3FBC-4899-A671-ECAAB1F7F9C2}">
          <x14:formula1>
            <xm:f>Valores!$G$3:$G$6</xm:f>
          </x14:formula1>
          <xm:sqref>A2:A7 A12:A15</xm:sqref>
        </x14:dataValidation>
        <x14:dataValidation type="list" allowBlank="1" showInputMessage="1" showErrorMessage="1" errorTitle="Dato inválido" error="Valor no válido. Sólo los especificados en la lista" xr:uid="{F48C8D19-253D-403E-B283-1CC113219698}">
          <x14:formula1>
            <xm:f>Valores!$A$3:$A$8</xm:f>
          </x14:formula1>
          <xm:sqref>F2:F7 F12:F15</xm:sqref>
        </x14:dataValidation>
        <x14:dataValidation type="list" allowBlank="1" showInputMessage="1" showErrorMessage="1" errorTitle="Dato inválido" error="Valor no válido. Sólo los especificados en la lista" xr:uid="{84D66EED-3BAE-4B55-B8EA-E33FB1CB3676}">
          <x14:formula1>
            <xm:f>Valores!$D$3:$D$4</xm:f>
          </x14:formula1>
          <xm:sqref>E2:E7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28EE4-76CA-4B01-A0AA-ABB5C88CEF6F}">
  <dimension ref="A1:J13"/>
  <sheetViews>
    <sheetView workbookViewId="0">
      <selection activeCell="C19" sqref="C19"/>
    </sheetView>
  </sheetViews>
  <sheetFormatPr defaultColWidth="9.140625" defaultRowHeight="15"/>
  <cols>
    <col min="1" max="1" width="19.7109375" customWidth="1"/>
    <col min="2" max="2" width="22.5703125" customWidth="1"/>
    <col min="3" max="3" width="24.140625" customWidth="1"/>
    <col min="4" max="4" width="27.85546875" customWidth="1"/>
    <col min="5" max="5" width="21.5703125" customWidth="1"/>
    <col min="6" max="6" width="35.7109375" customWidth="1"/>
    <col min="7" max="7" width="67.42578125" customWidth="1"/>
    <col min="8" max="8" width="98.42578125" customWidth="1"/>
    <col min="9" max="9" width="57.85546875" customWidth="1"/>
  </cols>
  <sheetData>
    <row r="1" spans="1:10">
      <c r="A1" s="5" t="s">
        <v>2</v>
      </c>
      <c r="B1" s="12" t="s">
        <v>54</v>
      </c>
      <c r="C1" s="13" t="s">
        <v>54</v>
      </c>
      <c r="D1" s="45" t="s">
        <v>55</v>
      </c>
      <c r="E1" s="46" t="s">
        <v>56</v>
      </c>
      <c r="F1" s="14" t="s">
        <v>0</v>
      </c>
      <c r="G1" s="14" t="s">
        <v>57</v>
      </c>
      <c r="H1" s="14" t="s">
        <v>58</v>
      </c>
      <c r="I1" s="14" t="s">
        <v>59</v>
      </c>
    </row>
    <row r="2" spans="1:10">
      <c r="A2" s="6" t="s">
        <v>32</v>
      </c>
      <c r="B2" s="48">
        <v>1</v>
      </c>
      <c r="C2" s="8" t="str">
        <f t="shared" ref="C2:C6" si="0">RIGHT("0000"&amp;B2,5)</f>
        <v>00001</v>
      </c>
      <c r="D2" s="9" t="str">
        <f>IF(AND(EXACT(LEN(TRIM(H2)),0), EXACT(LEN(TRIM(G2)),0)),"",A2&amp;"_"&amp;VLOOKUP(E2,Valores!$D$3:$E$4,2,FALSE)&amp;"_"&amp;VLOOKUP(F2,Valores!$A$3:$B$8,2,FALSE)&amp;"_"&amp;C2)</f>
        <v>Insumo_USU_EXI_00001</v>
      </c>
      <c r="E2" s="6" t="s">
        <v>8</v>
      </c>
      <c r="F2" s="6" t="s">
        <v>12</v>
      </c>
      <c r="G2" t="s">
        <v>192</v>
      </c>
      <c r="H2" t="s">
        <v>193</v>
      </c>
      <c r="I2" t="s">
        <v>194</v>
      </c>
    </row>
    <row r="3" spans="1:10">
      <c r="A3" s="6" t="s">
        <v>32</v>
      </c>
      <c r="B3" s="48">
        <v>2</v>
      </c>
      <c r="C3" s="8" t="str">
        <f t="shared" si="0"/>
        <v>00002</v>
      </c>
      <c r="D3" s="9" t="str">
        <f>IF(AND(EXACT(LEN(TRIM(H3)),0), EXACT(LEN(TRIM(G3)),0)),"",A3&amp;"_"&amp;VLOOKUP(E3,Valores!$D$3:$E$4,2,FALSE)&amp;"_"&amp;VLOOKUP(F3,Valores!$A$3:$B$8,2,FALSE)&amp;"_"&amp;C3)</f>
        <v>Insumo_USU_ADV_00002</v>
      </c>
      <c r="E3" s="6" t="s">
        <v>8</v>
      </c>
      <c r="F3" s="6" t="s">
        <v>18</v>
      </c>
      <c r="G3" t="s">
        <v>195</v>
      </c>
      <c r="H3" t="s">
        <v>196</v>
      </c>
      <c r="I3" t="s">
        <v>197</v>
      </c>
    </row>
    <row r="4" spans="1:10">
      <c r="A4" s="6" t="s">
        <v>32</v>
      </c>
      <c r="B4" s="48">
        <v>3</v>
      </c>
      <c r="C4" s="8" t="str">
        <f t="shared" si="0"/>
        <v>00003</v>
      </c>
      <c r="D4" s="9" t="str">
        <f>IF(AND(EXACT(LEN(TRIM(H4)),0), EXACT(LEN(TRIM(G4)),0)),"",A4&amp;"_"&amp;VLOOKUP(E4,Valores!$D$3:$E$4,2,FALSE)&amp;"_"&amp;VLOOKUP(F4,Valores!$A$3:$B$8,2,FALSE)&amp;"_"&amp;C4)</f>
        <v>Insumo_USU_ERR_00003</v>
      </c>
      <c r="E4" s="6" t="s">
        <v>8</v>
      </c>
      <c r="F4" s="6" t="s">
        <v>26</v>
      </c>
      <c r="G4" t="s">
        <v>198</v>
      </c>
      <c r="H4" t="s">
        <v>199</v>
      </c>
      <c r="I4" t="s">
        <v>200</v>
      </c>
    </row>
    <row r="5" spans="1:10">
      <c r="A5" s="6" t="s">
        <v>32</v>
      </c>
      <c r="B5" s="48">
        <v>4</v>
      </c>
      <c r="C5" s="8" t="str">
        <f t="shared" si="0"/>
        <v>00004</v>
      </c>
      <c r="D5" s="9" t="str">
        <f>IF(AND(EXACT(LEN(TRIM(H5)),0), EXACT(LEN(TRIM(G5)),0)),"",A5&amp;"_"&amp;VLOOKUP(E5,Valores!$D$3:$E$4,2,FALSE)&amp;"_"&amp;VLOOKUP(F5,Valores!$A$3:$B$8,2,FALSE)&amp;"_"&amp;C5)</f>
        <v>Insumo_USU_ERR_00004</v>
      </c>
      <c r="E5" s="6" t="s">
        <v>8</v>
      </c>
      <c r="F5" s="6" t="s">
        <v>26</v>
      </c>
      <c r="G5" t="s">
        <v>201</v>
      </c>
      <c r="H5" t="s">
        <v>172</v>
      </c>
      <c r="I5" t="s">
        <v>173</v>
      </c>
    </row>
    <row r="6" spans="1:10">
      <c r="A6" s="6" t="s">
        <v>32</v>
      </c>
      <c r="B6" s="48">
        <v>5</v>
      </c>
      <c r="C6" s="8" t="str">
        <f t="shared" si="0"/>
        <v>00005</v>
      </c>
      <c r="D6" s="9" t="str">
        <f>IF(AND(EXACT(LEN(TRIM(H6)),0), EXACT(LEN(TRIM(G6)),0)),"",A6&amp;"_"&amp;VLOOKUP(E6,Valores!$D$3:$E$4,2,FALSE)&amp;"_"&amp;VLOOKUP(F6,Valores!$A$3:$B$8,2,FALSE)&amp;"_"&amp;C6)</f>
        <v>Insumo_USU_EXI_00005</v>
      </c>
      <c r="E6" s="6" t="s">
        <v>8</v>
      </c>
      <c r="F6" s="6" t="s">
        <v>12</v>
      </c>
      <c r="G6" t="s">
        <v>202</v>
      </c>
      <c r="H6" t="s">
        <v>203</v>
      </c>
      <c r="I6" t="s">
        <v>194</v>
      </c>
    </row>
    <row r="8" spans="1:10">
      <c r="A8" s="60" t="s">
        <v>204</v>
      </c>
      <c r="B8" s="60"/>
      <c r="C8" s="60"/>
      <c r="D8" s="60"/>
      <c r="E8" s="60"/>
      <c r="F8" s="60"/>
      <c r="G8" s="60"/>
      <c r="H8" s="60"/>
      <c r="I8" s="60"/>
      <c r="J8" s="60"/>
    </row>
    <row r="10" spans="1:10">
      <c r="A10" s="5" t="s">
        <v>2</v>
      </c>
      <c r="B10" s="12" t="s">
        <v>54</v>
      </c>
      <c r="C10" s="13" t="s">
        <v>54</v>
      </c>
      <c r="D10" s="45" t="s">
        <v>55</v>
      </c>
      <c r="E10" s="46" t="s">
        <v>56</v>
      </c>
      <c r="F10" s="14" t="s">
        <v>0</v>
      </c>
      <c r="G10" s="14" t="s">
        <v>57</v>
      </c>
      <c r="H10" s="14" t="s">
        <v>58</v>
      </c>
      <c r="I10" s="14" t="s">
        <v>59</v>
      </c>
    </row>
    <row r="11" spans="1:10">
      <c r="A11" s="6" t="s">
        <v>32</v>
      </c>
      <c r="B11" s="48">
        <v>6</v>
      </c>
      <c r="C11" s="8" t="str">
        <f t="shared" ref="C11:C13" si="1">RIGHT("0000"&amp;B11,5)</f>
        <v>00006</v>
      </c>
      <c r="D11" s="9" t="str">
        <f>IF(AND(EXACT(LEN(TRIM(H11)),0), EXACT(LEN(TRIM(G11)),0)),"",A11&amp;"_"&amp;VLOOKUP(E11,Valores!$D$3:$E$4,2,FALSE)&amp;"_"&amp;VLOOKUP(F11,Valores!$A$3:$B$8,2,FALSE)&amp;"_"&amp;C11)</f>
        <v>Insumo_USU_ERR_00006</v>
      </c>
      <c r="E11" s="6" t="s">
        <v>8</v>
      </c>
      <c r="F11" s="6" t="s">
        <v>26</v>
      </c>
      <c r="G11" t="s">
        <v>205</v>
      </c>
      <c r="H11" t="s">
        <v>206</v>
      </c>
      <c r="I11" t="s">
        <v>207</v>
      </c>
    </row>
    <row r="12" spans="1:10">
      <c r="A12" s="6" t="s">
        <v>32</v>
      </c>
      <c r="B12" s="48">
        <v>7</v>
      </c>
      <c r="C12" s="8" t="str">
        <f t="shared" si="1"/>
        <v>00007</v>
      </c>
      <c r="D12" s="9" t="str">
        <f>IF(AND(EXACT(LEN(TRIM(H12)),0), EXACT(LEN(TRIM(G12)),0)),"",A12&amp;"_"&amp;VLOOKUP(E12,Valores!$D$3:$E$4,2,FALSE)&amp;"_"&amp;VLOOKUP(F12,Valores!$A$3:$B$8,2,FALSE)&amp;"_"&amp;C12)</f>
        <v>Insumo_USU_ERR_00007</v>
      </c>
      <c r="E12" s="6" t="s">
        <v>8</v>
      </c>
      <c r="F12" s="6" t="s">
        <v>26</v>
      </c>
      <c r="G12" t="s">
        <v>208</v>
      </c>
      <c r="H12" t="s">
        <v>209</v>
      </c>
      <c r="I12" t="s">
        <v>210</v>
      </c>
    </row>
    <row r="13" spans="1:10">
      <c r="A13" s="6" t="s">
        <v>32</v>
      </c>
      <c r="B13" s="48">
        <v>14</v>
      </c>
      <c r="C13" s="8" t="str">
        <f t="shared" si="1"/>
        <v>00014</v>
      </c>
      <c r="D13" s="9" t="str">
        <f>IF(AND(EXACT(LEN(TRIM(H13)),0), EXACT(LEN(TRIM(G13)),0)),"",A13&amp;"_"&amp;VLOOKUP(E13,Valores!$D$3:$E$4,2,FALSE)&amp;"_"&amp;VLOOKUP(F13,Valores!$A$3:$B$8,2,FALSE)&amp;"_"&amp;C13)</f>
        <v>Insumo_USU_EXI_00014</v>
      </c>
      <c r="E13" s="6" t="s">
        <v>8</v>
      </c>
      <c r="F13" s="6" t="s">
        <v>12</v>
      </c>
      <c r="G13" t="s">
        <v>211</v>
      </c>
      <c r="H13" t="s">
        <v>212</v>
      </c>
      <c r="I13" t="s">
        <v>194</v>
      </c>
    </row>
  </sheetData>
  <mergeCells count="1">
    <mergeCell ref="A8:J8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Dato inválido" error="Valor no válido. Sólo los especificados en la lista" xr:uid="{C2955DD5-E19A-4675-8B3C-A25D87B37728}">
          <x14:formula1>
            <xm:f>Valores!$A$3:$A$8</xm:f>
          </x14:formula1>
          <xm:sqref>F2:F6 F11:F13</xm:sqref>
        </x14:dataValidation>
        <x14:dataValidation type="list" allowBlank="1" showInputMessage="1" showErrorMessage="1" errorTitle="Dato inválido" error="Valor no válido. Sólo los especificados en la lista" xr:uid="{7E64908D-A0C4-438A-B2B3-EA50D9FAE3CF}">
          <x14:formula1>
            <xm:f>Valores!$D$3:$D$4</xm:f>
          </x14:formula1>
          <xm:sqref>E2:E6 E11:E13</xm:sqref>
        </x14:dataValidation>
        <x14:dataValidation type="list" allowBlank="1" showInputMessage="1" showErrorMessage="1" xr:uid="{5752B755-B37F-4F36-99C6-260071F8967E}">
          <x14:formula1>
            <xm:f>Valores!$G$3:$G$8</xm:f>
          </x14:formula1>
          <xm:sqref>A2:A6 A11:A13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373D-1F41-43CA-89E7-CB7CA3B995D2}">
  <dimension ref="A1:K18"/>
  <sheetViews>
    <sheetView workbookViewId="0">
      <selection activeCell="C18" sqref="C18"/>
    </sheetView>
  </sheetViews>
  <sheetFormatPr defaultColWidth="9.140625" defaultRowHeight="15"/>
  <cols>
    <col min="1" max="1" width="19.7109375" customWidth="1"/>
    <col min="2" max="3" width="22.5703125" customWidth="1"/>
    <col min="4" max="4" width="24.140625" customWidth="1"/>
    <col min="5" max="5" width="38" customWidth="1"/>
    <col min="6" max="6" width="21.5703125" customWidth="1"/>
    <col min="7" max="7" width="35.7109375" customWidth="1"/>
    <col min="8" max="8" width="67.42578125" customWidth="1"/>
    <col min="9" max="9" width="98.42578125" customWidth="1"/>
    <col min="10" max="10" width="57.85546875" customWidth="1"/>
  </cols>
  <sheetData>
    <row r="1" spans="1:11">
      <c r="A1" s="5" t="s">
        <v>2</v>
      </c>
      <c r="B1" s="12" t="s">
        <v>54</v>
      </c>
      <c r="C1" s="12"/>
      <c r="D1" s="13" t="s">
        <v>54</v>
      </c>
      <c r="E1" s="45" t="s">
        <v>55</v>
      </c>
      <c r="F1" s="46" t="s">
        <v>56</v>
      </c>
      <c r="G1" s="14" t="s">
        <v>0</v>
      </c>
      <c r="H1" s="14" t="s">
        <v>57</v>
      </c>
      <c r="I1" s="14" t="s">
        <v>58</v>
      </c>
      <c r="J1" s="14" t="s">
        <v>59</v>
      </c>
    </row>
    <row r="2" spans="1:11">
      <c r="A2" s="6" t="s">
        <v>28</v>
      </c>
      <c r="B2">
        <v>1</v>
      </c>
      <c r="D2" s="8" t="str">
        <f>RIGHT("0000"&amp;B2,5)</f>
        <v>00001</v>
      </c>
      <c r="E2" s="9" t="str">
        <f>IF(AND(EXACT(LEN(TRIM(I2)),0), EXACT(LEN(TRIM(H2)),0)),"",A2&amp;"_"&amp;VLOOKUP(F2,Valores!$D$3:$E$4,2,FALSE)&amp;"_"&amp;VLOOKUP(G2,Valores!$A$3:$B$8,2,FALSE)&amp;"_"&amp;D2)</f>
        <v>Abastecimiento_USU_EXI_00001</v>
      </c>
      <c r="F2" s="6" t="s">
        <v>8</v>
      </c>
      <c r="G2" s="6" t="s">
        <v>12</v>
      </c>
      <c r="H2" t="s">
        <v>213</v>
      </c>
      <c r="I2" t="s">
        <v>214</v>
      </c>
      <c r="J2" t="s">
        <v>215</v>
      </c>
    </row>
    <row r="3" spans="1:11">
      <c r="A3" s="6" t="s">
        <v>28</v>
      </c>
      <c r="B3">
        <v>2</v>
      </c>
      <c r="D3" s="8" t="str">
        <f>RIGHT("0000"&amp;B3,5)</f>
        <v>00002</v>
      </c>
      <c r="E3" s="9" t="str">
        <f>IF(AND(EXACT(LEN(TRIM(I3)),0), EXACT(LEN(TRIM(H3)),0)),"",A3&amp;"_"&amp;VLOOKUP(F3,Valores!$D$3:$E$4,2,FALSE)&amp;"_"&amp;VLOOKUP(G3,Valores!$A$3:$B$8,2,FALSE)&amp;"_"&amp;D3)</f>
        <v>Abastecimiento_USU_ERR_00002</v>
      </c>
      <c r="F3" s="6" t="s">
        <v>8</v>
      </c>
      <c r="G3" s="6" t="s">
        <v>26</v>
      </c>
      <c r="H3" t="s">
        <v>216</v>
      </c>
      <c r="I3" t="s">
        <v>217</v>
      </c>
      <c r="J3" t="s">
        <v>218</v>
      </c>
    </row>
    <row r="4" spans="1:11">
      <c r="A4" s="6" t="s">
        <v>28</v>
      </c>
      <c r="B4">
        <v>3</v>
      </c>
      <c r="D4" s="8" t="str">
        <f>RIGHT("0000"&amp;B4,5)</f>
        <v>00003</v>
      </c>
      <c r="E4" s="9" t="str">
        <f>IF(AND(EXACT(LEN(TRIM(I4)),0), EXACT(LEN(TRIM(H4)),0)),"",A4&amp;"_"&amp;VLOOKUP(F4,Valores!$D$3:$E$4,2,FALSE)&amp;"_"&amp;VLOOKUP(G4,Valores!$A$3:$B$8,2,FALSE)&amp;"_"&amp;D4)</f>
        <v>Abastecimiento_USU_ERR_00003</v>
      </c>
      <c r="F4" s="6" t="s">
        <v>8</v>
      </c>
      <c r="G4" s="6" t="s">
        <v>26</v>
      </c>
      <c r="H4" t="s">
        <v>201</v>
      </c>
      <c r="I4" t="s">
        <v>172</v>
      </c>
      <c r="J4" t="s">
        <v>173</v>
      </c>
    </row>
    <row r="5" spans="1:11">
      <c r="A5" s="6" t="s">
        <v>28</v>
      </c>
      <c r="B5">
        <v>4</v>
      </c>
      <c r="D5" s="8" t="str">
        <f>RIGHT("0000"&amp;B5,5)</f>
        <v>00004</v>
      </c>
      <c r="E5" s="9" t="str">
        <f>IF(AND(EXACT(LEN(TRIM(I5)),0), EXACT(LEN(TRIM(H5)),0)),"",A5&amp;"_"&amp;VLOOKUP(F5,Valores!$D$3:$E$4,2,FALSE)&amp;"_"&amp;VLOOKUP(G5,Valores!$A$3:$B$8,2,FALSE)&amp;"_"&amp;D5)</f>
        <v>Abastecimiento_USU_ERR_00004</v>
      </c>
      <c r="F5" s="6" t="s">
        <v>8</v>
      </c>
      <c r="G5" s="6" t="s">
        <v>26</v>
      </c>
      <c r="H5" t="s">
        <v>198</v>
      </c>
      <c r="I5" t="s">
        <v>219</v>
      </c>
      <c r="J5" t="s">
        <v>220</v>
      </c>
    </row>
    <row r="7" spans="1:11">
      <c r="A7" s="60" t="s">
        <v>221</v>
      </c>
      <c r="B7" s="60"/>
      <c r="C7" s="60"/>
      <c r="D7" s="60"/>
      <c r="E7" s="60"/>
      <c r="F7" s="60"/>
      <c r="G7" s="60"/>
      <c r="H7" s="60"/>
      <c r="I7" s="60"/>
      <c r="J7" s="60"/>
      <c r="K7" s="60"/>
    </row>
    <row r="9" spans="1:11">
      <c r="A9" s="5" t="s">
        <v>2</v>
      </c>
      <c r="B9" s="12" t="s">
        <v>54</v>
      </c>
      <c r="C9" s="12"/>
      <c r="D9" s="13" t="s">
        <v>54</v>
      </c>
      <c r="E9" s="45" t="s">
        <v>55</v>
      </c>
      <c r="F9" s="46" t="s">
        <v>56</v>
      </c>
      <c r="G9" s="14" t="s">
        <v>0</v>
      </c>
      <c r="H9" s="14" t="s">
        <v>57</v>
      </c>
      <c r="I9" s="14" t="s">
        <v>58</v>
      </c>
      <c r="J9" s="14" t="s">
        <v>59</v>
      </c>
    </row>
    <row r="10" spans="1:11">
      <c r="A10" s="6" t="s">
        <v>28</v>
      </c>
      <c r="B10" s="48">
        <v>8</v>
      </c>
      <c r="C10" s="48">
        <v>5</v>
      </c>
      <c r="D10" s="8" t="str">
        <f>RIGHT("0000"&amp;B10,5)</f>
        <v>00008</v>
      </c>
      <c r="E10" s="9" t="str">
        <f>IF(AND(EXACT(LEN(TRIM(I10)),0), EXACT(LEN(TRIM(H10)),0)),"",A10&amp;"_"&amp;VLOOKUP(F10,Valores!$D$3:$E$4,2,FALSE)&amp;"_"&amp;VLOOKUP(G10,Valores!$A$3:$B$8,2,FALSE)&amp;"_"&amp;D10)</f>
        <v>Abastecimiento_USU_EXI_00008</v>
      </c>
      <c r="F10" s="6" t="s">
        <v>8</v>
      </c>
      <c r="G10" s="6" t="s">
        <v>12</v>
      </c>
      <c r="H10" t="s">
        <v>222</v>
      </c>
      <c r="I10" t="s">
        <v>223</v>
      </c>
      <c r="J10" t="s">
        <v>224</v>
      </c>
    </row>
    <row r="11" spans="1:11">
      <c r="A11" s="6" t="s">
        <v>28</v>
      </c>
      <c r="B11" s="48">
        <v>9</v>
      </c>
      <c r="C11" s="48">
        <v>6</v>
      </c>
      <c r="D11" s="8" t="str">
        <f>RIGHT("0000"&amp;B11,5)</f>
        <v>00009</v>
      </c>
      <c r="E11" s="9" t="str">
        <f>IF(AND(EXACT(LEN(TRIM(I11)),0), EXACT(LEN(TRIM(H11)),0)),"",A11&amp;"_"&amp;VLOOKUP(F11,Valores!$D$3:$E$4,2,FALSE)&amp;"_"&amp;VLOOKUP(G11,Valores!$A$3:$B$8,2,FALSE)&amp;"_"&amp;D11)</f>
        <v>Abastecimiento_USU_ERR_00009</v>
      </c>
      <c r="F11" s="6" t="s">
        <v>8</v>
      </c>
      <c r="G11" s="6" t="s">
        <v>26</v>
      </c>
      <c r="H11" t="s">
        <v>205</v>
      </c>
      <c r="I11" t="s">
        <v>225</v>
      </c>
      <c r="J11" t="s">
        <v>207</v>
      </c>
    </row>
    <row r="12" spans="1:11">
      <c r="A12" s="6" t="s">
        <v>28</v>
      </c>
      <c r="B12" s="48">
        <v>10</v>
      </c>
      <c r="C12" s="48">
        <v>7</v>
      </c>
      <c r="D12" s="8" t="str">
        <f>RIGHT("0000"&amp;B12,5)</f>
        <v>00010</v>
      </c>
      <c r="E12" s="9" t="str">
        <f>IF(AND(EXACT(LEN(TRIM(I12)),0), EXACT(LEN(TRIM(H12)),0)),"",A12&amp;"_"&amp;VLOOKUP(F12,Valores!$D$3:$E$4,2,FALSE)&amp;"_"&amp;VLOOKUP(G12,Valores!$A$3:$B$8,2,FALSE)&amp;"_"&amp;D12)</f>
        <v>Abastecimiento_USU_ERR_00010</v>
      </c>
      <c r="F12" s="6" t="s">
        <v>8</v>
      </c>
      <c r="G12" s="6" t="s">
        <v>26</v>
      </c>
      <c r="H12" t="s">
        <v>226</v>
      </c>
      <c r="I12" t="s">
        <v>227</v>
      </c>
      <c r="J12" t="s">
        <v>218</v>
      </c>
    </row>
    <row r="14" spans="1:11">
      <c r="A14" s="60" t="s">
        <v>228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</row>
    <row r="16" spans="1:11">
      <c r="A16" s="5" t="s">
        <v>2</v>
      </c>
      <c r="B16" s="12" t="s">
        <v>54</v>
      </c>
      <c r="C16" s="12"/>
      <c r="D16" s="13" t="s">
        <v>54</v>
      </c>
      <c r="E16" s="45" t="s">
        <v>55</v>
      </c>
      <c r="F16" s="46" t="s">
        <v>56</v>
      </c>
      <c r="G16" s="14" t="s">
        <v>0</v>
      </c>
      <c r="H16" s="14" t="s">
        <v>57</v>
      </c>
      <c r="I16" s="14" t="s">
        <v>58</v>
      </c>
      <c r="J16" s="14" t="s">
        <v>59</v>
      </c>
    </row>
    <row r="17" spans="1:10">
      <c r="A17" s="6" t="s">
        <v>28</v>
      </c>
      <c r="B17" s="48">
        <v>16</v>
      </c>
      <c r="C17" s="48">
        <v>8</v>
      </c>
      <c r="D17" s="8" t="str">
        <f t="shared" ref="D17:D18" si="0">RIGHT("0000"&amp;B17,5)</f>
        <v>00016</v>
      </c>
      <c r="E17" s="9" t="str">
        <f>IF(AND(EXACT(LEN(TRIM(I17)),0), EXACT(LEN(TRIM(H17)),0)),"",A17&amp;"_"&amp;VLOOKUP(F17,Valores!$D$3:$E$4,2,FALSE)&amp;"_"&amp;VLOOKUP(G17,Valores!$A$3:$B$8,2,FALSE)&amp;"_"&amp;D17)</f>
        <v>Abastecimiento_USU_ERR_00016</v>
      </c>
      <c r="F17" s="6" t="s">
        <v>8</v>
      </c>
      <c r="G17" s="6" t="s">
        <v>26</v>
      </c>
      <c r="H17" t="s">
        <v>229</v>
      </c>
      <c r="I17" t="s">
        <v>230</v>
      </c>
      <c r="J17" t="s">
        <v>231</v>
      </c>
    </row>
    <row r="18" spans="1:10">
      <c r="A18" s="6" t="s">
        <v>28</v>
      </c>
      <c r="B18" s="48">
        <v>19</v>
      </c>
      <c r="C18" s="48"/>
      <c r="D18" s="8" t="str">
        <f t="shared" si="0"/>
        <v>00019</v>
      </c>
      <c r="E18" s="9" t="str">
        <f>IF(AND(EXACT(LEN(TRIM(I18)),0), EXACT(LEN(TRIM(H18)),0)),"",A18&amp;"_"&amp;VLOOKUP(F18,Valores!$D$3:$E$4,2,FALSE)&amp;"_"&amp;VLOOKUP(G18,Valores!$A$3:$B$8,2,FALSE)&amp;"_"&amp;D18)</f>
        <v>Abastecimiento_USU_INF_00019</v>
      </c>
      <c r="F18" s="6" t="s">
        <v>8</v>
      </c>
      <c r="G18" s="6" t="s">
        <v>6</v>
      </c>
      <c r="H18" t="s">
        <v>232</v>
      </c>
      <c r="I18" t="s">
        <v>233</v>
      </c>
      <c r="J18" t="s">
        <v>234</v>
      </c>
    </row>
  </sheetData>
  <mergeCells count="2">
    <mergeCell ref="A7:K7"/>
    <mergeCell ref="A14:K14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F5ACD58-AFFC-4918-8C8E-41A2B6C624C9}">
          <x14:formula1>
            <xm:f>Valores!$G$3:$G$8</xm:f>
          </x14:formula1>
          <xm:sqref>A2:A5 A10:A12 A17:A18</xm:sqref>
        </x14:dataValidation>
        <x14:dataValidation type="list" allowBlank="1" showInputMessage="1" showErrorMessage="1" errorTitle="Dato inválido" error="Valor no válido. Sólo los especificados en la lista" xr:uid="{F6A75A80-A151-4D00-BD31-47A659E57075}">
          <x14:formula1>
            <xm:f>Valores!$D$3:$D$4</xm:f>
          </x14:formula1>
          <xm:sqref>F2:F5 F10:F12 F17:F18</xm:sqref>
        </x14:dataValidation>
        <x14:dataValidation type="list" allowBlank="1" showInputMessage="1" showErrorMessage="1" errorTitle="Dato inválido" error="Valor no válido. Sólo los especificados en la lista" xr:uid="{97F06262-96F2-4768-9969-75295348E10B}">
          <x14:formula1>
            <xm:f>Valores!$A$3:$A$8</xm:f>
          </x14:formula1>
          <xm:sqref>G2:G5 G10:G12 G17:G18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E5DA-BC45-4B78-BBA2-8D28E7F8C9B2}">
  <dimension ref="A1:J22"/>
  <sheetViews>
    <sheetView workbookViewId="0">
      <selection activeCell="D16" sqref="D16"/>
    </sheetView>
  </sheetViews>
  <sheetFormatPr defaultColWidth="9.140625" defaultRowHeight="15"/>
  <cols>
    <col min="1" max="1" width="19.7109375" customWidth="1"/>
    <col min="2" max="2" width="22.5703125" customWidth="1"/>
    <col min="3" max="3" width="24.140625" customWidth="1"/>
    <col min="4" max="4" width="38" customWidth="1"/>
    <col min="5" max="5" width="21.5703125" customWidth="1"/>
    <col min="6" max="6" width="35.7109375" customWidth="1"/>
    <col min="7" max="7" width="67.42578125" customWidth="1"/>
    <col min="8" max="8" width="98.42578125" customWidth="1"/>
    <col min="9" max="9" width="57.85546875" customWidth="1"/>
  </cols>
  <sheetData>
    <row r="1" spans="1:10">
      <c r="A1" s="5" t="s">
        <v>2</v>
      </c>
      <c r="B1" s="12" t="s">
        <v>54</v>
      </c>
      <c r="C1" s="13" t="s">
        <v>54</v>
      </c>
      <c r="D1" s="45" t="s">
        <v>55</v>
      </c>
      <c r="E1" s="46" t="s">
        <v>56</v>
      </c>
      <c r="F1" s="14" t="s">
        <v>0</v>
      </c>
      <c r="G1" s="14" t="s">
        <v>57</v>
      </c>
      <c r="H1" s="14" t="s">
        <v>58</v>
      </c>
      <c r="I1" s="14" t="s">
        <v>59</v>
      </c>
    </row>
    <row r="2" spans="1:10">
      <c r="A2" s="6" t="s">
        <v>38</v>
      </c>
      <c r="B2" s="48">
        <v>1</v>
      </c>
      <c r="C2" s="8" t="str">
        <f t="shared" ref="C2:C9" si="0">RIGHT("0000"&amp;B2,5)</f>
        <v>00001</v>
      </c>
      <c r="D2" s="9" t="str">
        <f>IF(AND(EXACT(LEN(TRIM(H2)),0), EXACT(LEN(TRIM(G2)),0)),"",A2&amp;"_"&amp;VLOOKUP(E2,Valores!$D$3:$E$4,2,FALSE)&amp;"_"&amp;VLOOKUP(F2,Valores!$A$3:$B$8,2,FALSE)&amp;"_"&amp;C2)</f>
        <v>Devolución_USU_EXI_00001</v>
      </c>
      <c r="E2" s="6" t="s">
        <v>8</v>
      </c>
      <c r="F2" s="6" t="s">
        <v>12</v>
      </c>
      <c r="G2" t="s">
        <v>235</v>
      </c>
      <c r="H2" t="s">
        <v>236</v>
      </c>
      <c r="I2" t="s">
        <v>237</v>
      </c>
    </row>
    <row r="3" spans="1:10">
      <c r="A3" s="6" t="s">
        <v>38</v>
      </c>
      <c r="B3" s="48">
        <v>2</v>
      </c>
      <c r="C3" s="8" t="str">
        <f t="shared" si="0"/>
        <v>00002</v>
      </c>
      <c r="D3" s="9" t="str">
        <f>IF(AND(EXACT(LEN(TRIM(H3)),0), EXACT(LEN(TRIM(G3)),0)),"",A3&amp;"_"&amp;VLOOKUP(E3,Valores!$D$3:$E$4,2,FALSE)&amp;"_"&amp;VLOOKUP(F3,Valores!$A$3:$B$8,2,FALSE)&amp;"_"&amp;C3)</f>
        <v>Devolución_USU_ERR_00002</v>
      </c>
      <c r="E3" s="6" t="s">
        <v>8</v>
      </c>
      <c r="F3" s="6" t="s">
        <v>26</v>
      </c>
      <c r="G3" t="s">
        <v>201</v>
      </c>
      <c r="H3" t="s">
        <v>172</v>
      </c>
      <c r="I3" t="s">
        <v>173</v>
      </c>
    </row>
    <row r="4" spans="1:10" ht="14.25" customHeight="1">
      <c r="A4" s="6" t="s">
        <v>38</v>
      </c>
      <c r="B4" s="48">
        <v>3</v>
      </c>
      <c r="C4" s="8" t="str">
        <f>RIGHT("0000"&amp;B4,5)</f>
        <v>00003</v>
      </c>
      <c r="D4" s="9" t="str">
        <f>IF(AND(EXACT(LEN(TRIM(H4)),0), EXACT(LEN(TRIM(G4)),0)),"",A4&amp;"_"&amp;VLOOKUP(E4,Valores!$D$3:$E$4,2,FALSE)&amp;"_"&amp;VLOOKUP(F4,Valores!$A$3:$B$8,2,FALSE)&amp;"_"&amp;C4)</f>
        <v>Devolución_USU_ERR_00003</v>
      </c>
      <c r="E4" s="6" t="s">
        <v>8</v>
      </c>
      <c r="F4" s="6" t="s">
        <v>26</v>
      </c>
      <c r="G4" t="s">
        <v>238</v>
      </c>
      <c r="H4" t="s">
        <v>239</v>
      </c>
      <c r="I4" t="s">
        <v>240</v>
      </c>
    </row>
    <row r="5" spans="1:10">
      <c r="A5" s="6" t="s">
        <v>38</v>
      </c>
      <c r="B5" s="48">
        <v>4</v>
      </c>
      <c r="C5" s="8" t="str">
        <f t="shared" si="0"/>
        <v>00004</v>
      </c>
      <c r="D5" s="9" t="str">
        <f>IF(AND(EXACT(LEN(TRIM(H5)),0), EXACT(LEN(TRIM(G5)),0)),"",A5&amp;"_"&amp;VLOOKUP(E5,Valores!$D$3:$E$4,2,FALSE)&amp;"_"&amp;VLOOKUP(F5,Valores!$A$3:$B$8,2,FALSE)&amp;"_"&amp;C5)</f>
        <v>Devolución_USU_ERR_00004</v>
      </c>
      <c r="E5" s="6" t="s">
        <v>8</v>
      </c>
      <c r="F5" s="6" t="s">
        <v>26</v>
      </c>
      <c r="G5" t="s">
        <v>241</v>
      </c>
      <c r="H5" t="s">
        <v>242</v>
      </c>
      <c r="I5" t="s">
        <v>243</v>
      </c>
    </row>
    <row r="6" spans="1:10">
      <c r="A6" s="6" t="s">
        <v>38</v>
      </c>
      <c r="B6" s="48">
        <v>5</v>
      </c>
      <c r="C6" s="8" t="str">
        <f t="shared" si="0"/>
        <v>00005</v>
      </c>
      <c r="D6" s="9" t="str">
        <f>IF(AND(EXACT(LEN(TRIM(H6)),0), EXACT(LEN(TRIM(G6)),0)),"",A6&amp;"_"&amp;VLOOKUP(E6,Valores!$D$3:$E$4,2,FALSE)&amp;"_"&amp;VLOOKUP(F6,Valores!$A$3:$B$8,2,FALSE)&amp;"_"&amp;C6)</f>
        <v>Devolución_USU_ERR_00005</v>
      </c>
      <c r="E6" s="6" t="s">
        <v>8</v>
      </c>
      <c r="F6" s="6" t="s">
        <v>26</v>
      </c>
      <c r="G6" t="s">
        <v>244</v>
      </c>
      <c r="H6" t="s">
        <v>245</v>
      </c>
      <c r="I6" t="s">
        <v>246</v>
      </c>
    </row>
    <row r="7" spans="1:10">
      <c r="A7" s="6" t="s">
        <v>38</v>
      </c>
      <c r="B7" s="48">
        <v>6</v>
      </c>
      <c r="C7" s="8" t="str">
        <f t="shared" si="0"/>
        <v>00006</v>
      </c>
      <c r="D7" s="9" t="str">
        <f>IF(AND(EXACT(LEN(TRIM(H7)),0), EXACT(LEN(TRIM(G7)),0)),"",A7&amp;"_"&amp;VLOOKUP(E7,Valores!$D$3:$E$4,2,FALSE)&amp;"_"&amp;VLOOKUP(F7,Valores!$A$3:$B$8,2,FALSE)&amp;"_"&amp;C7)</f>
        <v>Devolución_USU_ERR_00006</v>
      </c>
      <c r="E7" s="6" t="s">
        <v>8</v>
      </c>
      <c r="F7" s="6" t="s">
        <v>26</v>
      </c>
      <c r="G7" t="s">
        <v>247</v>
      </c>
      <c r="H7" t="s">
        <v>248</v>
      </c>
      <c r="I7" t="s">
        <v>154</v>
      </c>
    </row>
    <row r="8" spans="1:10">
      <c r="A8" s="6" t="s">
        <v>38</v>
      </c>
      <c r="B8" s="48">
        <v>7</v>
      </c>
      <c r="C8" s="8" t="str">
        <f t="shared" si="0"/>
        <v>00007</v>
      </c>
      <c r="D8" s="9" t="str">
        <f>IF(AND(EXACT(LEN(TRIM(H8)),0), EXACT(LEN(TRIM(G8)),0)),"",A8&amp;"_"&amp;VLOOKUP(E8,Valores!$D$3:$E$4,2,FALSE)&amp;"_"&amp;VLOOKUP(F8,Valores!$A$3:$B$8,2,FALSE)&amp;"_"&amp;C8)</f>
        <v>Devolución_USU_ERR_00007</v>
      </c>
      <c r="E8" s="6" t="s">
        <v>8</v>
      </c>
      <c r="F8" s="6" t="s">
        <v>26</v>
      </c>
      <c r="G8" t="s">
        <v>249</v>
      </c>
      <c r="H8" t="s">
        <v>250</v>
      </c>
      <c r="I8" t="s">
        <v>154</v>
      </c>
    </row>
    <row r="9" spans="1:10">
      <c r="A9" s="6" t="s">
        <v>38</v>
      </c>
      <c r="B9" s="48">
        <v>8</v>
      </c>
      <c r="C9" s="8" t="str">
        <f t="shared" si="0"/>
        <v>00008</v>
      </c>
      <c r="D9" s="9" t="str">
        <f>IF(AND(EXACT(LEN(TRIM(H9)),0), EXACT(LEN(TRIM(G9)),0)),"",A9&amp;"_"&amp;VLOOKUP(E9,Valores!$D$3:$E$4,2,FALSE)&amp;"_"&amp;VLOOKUP(F9,Valores!$A$3:$B$8,2,FALSE)&amp;"_"&amp;C9)</f>
        <v>Devolución_USU_EXI_00008</v>
      </c>
      <c r="E9" s="6" t="s">
        <v>8</v>
      </c>
      <c r="F9" s="6" t="s">
        <v>12</v>
      </c>
      <c r="G9" t="s">
        <v>208</v>
      </c>
      <c r="H9" t="s">
        <v>251</v>
      </c>
      <c r="I9" t="s">
        <v>154</v>
      </c>
    </row>
    <row r="11" spans="1:10">
      <c r="A11" s="60" t="s">
        <v>252</v>
      </c>
      <c r="B11" s="60"/>
      <c r="C11" s="60"/>
      <c r="D11" s="60"/>
      <c r="E11" s="60"/>
      <c r="F11" s="60"/>
      <c r="G11" s="60"/>
      <c r="H11" s="60"/>
      <c r="I11" s="60"/>
      <c r="J11" s="60"/>
    </row>
    <row r="13" spans="1:10">
      <c r="A13" s="5" t="s">
        <v>2</v>
      </c>
      <c r="B13" s="12" t="s">
        <v>54</v>
      </c>
      <c r="C13" s="13" t="s">
        <v>54</v>
      </c>
      <c r="D13" s="45" t="s">
        <v>55</v>
      </c>
      <c r="E13" s="46" t="s">
        <v>56</v>
      </c>
      <c r="F13" s="14" t="s">
        <v>0</v>
      </c>
      <c r="G13" s="14" t="s">
        <v>57</v>
      </c>
      <c r="H13" s="14" t="s">
        <v>58</v>
      </c>
      <c r="I13" s="14" t="s">
        <v>59</v>
      </c>
    </row>
    <row r="14" spans="1:10">
      <c r="A14" s="6" t="s">
        <v>38</v>
      </c>
      <c r="B14" s="48">
        <v>9</v>
      </c>
      <c r="C14" s="8" t="str">
        <f>RIGHT("0000"&amp;B14,5)</f>
        <v>00009</v>
      </c>
      <c r="D14" s="9" t="str">
        <f>IF(AND(EXACT(LEN(TRIM(H14)),0), EXACT(LEN(TRIM(G14)),0)),"",A14&amp;"_"&amp;VLOOKUP(E14,Valores!$D$3:$E$4,2,FALSE)&amp;"_"&amp;VLOOKUP(F14,Valores!$A$3:$B$8,2,FALSE)&amp;"_"&amp;C14)</f>
        <v>Devolución_USU_EXI_00009</v>
      </c>
      <c r="E14" s="6" t="s">
        <v>8</v>
      </c>
      <c r="F14" s="6" t="s">
        <v>12</v>
      </c>
      <c r="G14" t="s">
        <v>253</v>
      </c>
      <c r="H14" t="s">
        <v>254</v>
      </c>
      <c r="I14" t="s">
        <v>255</v>
      </c>
    </row>
    <row r="15" spans="1:10">
      <c r="A15" s="6" t="s">
        <v>38</v>
      </c>
      <c r="B15" s="48">
        <v>10</v>
      </c>
      <c r="C15" s="8" t="str">
        <f t="shared" ref="C15" si="1">RIGHT("0000"&amp;B15,5)</f>
        <v>00010</v>
      </c>
      <c r="D15" s="9" t="str">
        <f>IF(AND(EXACT(LEN(TRIM(H15)),0), EXACT(LEN(TRIM(G15)),0)),"",A15&amp;"_"&amp;VLOOKUP(E15,Valores!$D$3:$E$4,2,FALSE)&amp;"_"&amp;VLOOKUP(F15,Valores!$A$3:$B$8,2,FALSE)&amp;"_"&amp;C15)</f>
        <v>Devolución_USU_EXI_00010</v>
      </c>
      <c r="E15" s="6" t="s">
        <v>8</v>
      </c>
      <c r="F15" s="6" t="s">
        <v>12</v>
      </c>
      <c r="G15" t="s">
        <v>256</v>
      </c>
      <c r="H15" t="s">
        <v>257</v>
      </c>
      <c r="I15" t="s">
        <v>154</v>
      </c>
    </row>
    <row r="17" spans="1:10">
      <c r="A17" s="60" t="s">
        <v>258</v>
      </c>
      <c r="B17" s="60"/>
      <c r="C17" s="60"/>
      <c r="D17" s="60"/>
      <c r="E17" s="60"/>
      <c r="F17" s="60"/>
      <c r="G17" s="60"/>
      <c r="H17" s="60"/>
      <c r="I17" s="60"/>
      <c r="J17" s="60"/>
    </row>
    <row r="19" spans="1:10">
      <c r="A19" s="5" t="s">
        <v>2</v>
      </c>
      <c r="B19" s="12" t="s">
        <v>54</v>
      </c>
      <c r="C19" s="13" t="s">
        <v>54</v>
      </c>
      <c r="D19" s="45" t="s">
        <v>55</v>
      </c>
      <c r="E19" s="46" t="s">
        <v>56</v>
      </c>
      <c r="F19" s="14" t="s">
        <v>0</v>
      </c>
      <c r="G19" s="14" t="s">
        <v>57</v>
      </c>
      <c r="H19" s="14" t="s">
        <v>58</v>
      </c>
      <c r="I19" s="14" t="s">
        <v>59</v>
      </c>
    </row>
    <row r="20" spans="1:10">
      <c r="A20" s="6" t="s">
        <v>38</v>
      </c>
      <c r="B20" s="48">
        <v>11</v>
      </c>
      <c r="C20" s="8" t="str">
        <f t="shared" ref="C20:C22" si="2">RIGHT("0000"&amp;B20,5)</f>
        <v>00011</v>
      </c>
      <c r="D20" s="9" t="str">
        <f>IF(AND(EXACT(LEN(TRIM(H20)),0), EXACT(LEN(TRIM(G20)),0)),"",A20&amp;"_"&amp;VLOOKUP(E20,Valores!$D$3:$E$4,2,FALSE)&amp;"_"&amp;VLOOKUP(F20,Valores!$A$3:$B$8,2,FALSE)&amp;"_"&amp;C20)</f>
        <v>Devolución_USU_ERR_00011</v>
      </c>
      <c r="E20" s="6" t="s">
        <v>8</v>
      </c>
      <c r="F20" s="6" t="s">
        <v>26</v>
      </c>
      <c r="G20" t="s">
        <v>259</v>
      </c>
      <c r="H20" t="s">
        <v>260</v>
      </c>
      <c r="I20" t="s">
        <v>261</v>
      </c>
    </row>
    <row r="21" spans="1:10">
      <c r="A21" s="6" t="s">
        <v>38</v>
      </c>
      <c r="B21" s="48">
        <v>12</v>
      </c>
      <c r="C21" s="8" t="str">
        <f t="shared" si="2"/>
        <v>00012</v>
      </c>
      <c r="D21" s="9" t="str">
        <f>IF(AND(EXACT(LEN(TRIM(H21)),0), EXACT(LEN(TRIM(G21)),0)),"",A21&amp;"_"&amp;VLOOKUP(E21,Valores!$D$3:$E$4,2,FALSE)&amp;"_"&amp;VLOOKUP(F21,Valores!$A$3:$B$8,2,FALSE)&amp;"_"&amp;C21)</f>
        <v>Devolución_USU_INF_00012</v>
      </c>
      <c r="E21" s="6" t="s">
        <v>8</v>
      </c>
      <c r="F21" s="6" t="s">
        <v>6</v>
      </c>
      <c r="G21" t="s">
        <v>262</v>
      </c>
      <c r="H21" t="s">
        <v>263</v>
      </c>
      <c r="I21" t="s">
        <v>154</v>
      </c>
    </row>
    <row r="22" spans="1:10">
      <c r="A22" s="6" t="s">
        <v>38</v>
      </c>
      <c r="B22" s="48">
        <v>13</v>
      </c>
      <c r="C22" s="8" t="str">
        <f t="shared" si="2"/>
        <v>00013</v>
      </c>
      <c r="D22" s="9" t="str">
        <f>IF(AND(EXACT(LEN(TRIM(H22)),0), EXACT(LEN(TRIM(G22)),0)),"",A22&amp;"_"&amp;VLOOKUP(E22,Valores!$D$3:$E$4,2,FALSE)&amp;"_"&amp;VLOOKUP(F22,Valores!$A$3:$B$8,2,FALSE)&amp;"_"&amp;C22)</f>
        <v>Devolución_USU_ERR_00013</v>
      </c>
      <c r="E22" s="6" t="s">
        <v>8</v>
      </c>
      <c r="F22" s="6" t="s">
        <v>26</v>
      </c>
      <c r="G22" t="s">
        <v>264</v>
      </c>
      <c r="H22" t="s">
        <v>265</v>
      </c>
      <c r="I22" t="s">
        <v>154</v>
      </c>
    </row>
  </sheetData>
  <mergeCells count="2">
    <mergeCell ref="A11:J11"/>
    <mergeCell ref="A17:J17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Dato inválido" error="Valor no válido. Sólo los especificados en la lista" xr:uid="{157FA91E-767D-4280-82C0-69B151EC2127}">
          <x14:formula1>
            <xm:f>Valores!$A$3:$A$8</xm:f>
          </x14:formula1>
          <xm:sqref>F2:F9 F14:F15 F20:F22</xm:sqref>
        </x14:dataValidation>
        <x14:dataValidation type="list" allowBlank="1" showInputMessage="1" showErrorMessage="1" errorTitle="Dato inválido" error="Valor no válido. Sólo los especificados en la lista" xr:uid="{7819E405-6F5D-497B-A55E-D3DB23E4464E}">
          <x14:formula1>
            <xm:f>Valores!$D$3:$D$4</xm:f>
          </x14:formula1>
          <xm:sqref>E2:E9 E14:E15 E20:E22</xm:sqref>
        </x14:dataValidation>
        <x14:dataValidation type="list" allowBlank="1" showInputMessage="1" showErrorMessage="1" xr:uid="{59CE51EF-970D-4618-8F6E-C0F8CDD8E480}">
          <x14:formula1>
            <xm:f>Valores!$G$3:$G$11</xm:f>
          </x14:formula1>
          <xm:sqref>A2:A9 A14:A15 A20:A22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B92F-B416-469E-831C-7634E13AED4E}">
  <dimension ref="A1:J10"/>
  <sheetViews>
    <sheetView workbookViewId="0">
      <selection activeCell="C22" sqref="C22"/>
    </sheetView>
  </sheetViews>
  <sheetFormatPr defaultColWidth="9.140625" defaultRowHeight="15"/>
  <cols>
    <col min="1" max="1" width="19.7109375" customWidth="1"/>
    <col min="2" max="2" width="22.5703125" customWidth="1"/>
    <col min="3" max="3" width="24.140625" customWidth="1"/>
    <col min="4" max="4" width="27.85546875" customWidth="1"/>
    <col min="5" max="5" width="21.5703125" customWidth="1"/>
    <col min="6" max="6" width="35.7109375" customWidth="1"/>
    <col min="7" max="7" width="67.42578125" customWidth="1"/>
    <col min="8" max="8" width="98.42578125" customWidth="1"/>
    <col min="9" max="9" width="57.85546875" customWidth="1"/>
  </cols>
  <sheetData>
    <row r="1" spans="1:10">
      <c r="A1" s="5" t="s">
        <v>2</v>
      </c>
      <c r="B1" s="12" t="s">
        <v>54</v>
      </c>
      <c r="C1" s="13" t="s">
        <v>54</v>
      </c>
      <c r="D1" s="45" t="s">
        <v>55</v>
      </c>
      <c r="E1" s="46" t="s">
        <v>56</v>
      </c>
      <c r="F1" s="14" t="s">
        <v>0</v>
      </c>
      <c r="G1" s="14" t="s">
        <v>57</v>
      </c>
      <c r="H1" s="14" t="s">
        <v>58</v>
      </c>
      <c r="I1" s="14" t="s">
        <v>59</v>
      </c>
    </row>
    <row r="2" spans="1:10">
      <c r="A2" s="6" t="s">
        <v>34</v>
      </c>
      <c r="B2" s="48">
        <v>1</v>
      </c>
      <c r="C2" s="8" t="str">
        <f t="shared" ref="C2:C5" si="0">RIGHT("0000"&amp;B2,5)</f>
        <v>00001</v>
      </c>
      <c r="D2" s="9" t="str">
        <f>IF(AND(EXACT(LEN(TRIM(H2)),0), EXACT(LEN(TRIM(G2)),0)),"",A2&amp;"_"&amp;VLOOKUP(E2,Valores!$D$3:$E$4,2,FALSE)&amp;"_"&amp;VLOOKUP(F2,Valores!$A$3:$B$8,2,FALSE)&amp;"_"&amp;C2)</f>
        <v>Cliente_USU_EXI_00001</v>
      </c>
      <c r="E2" s="6" t="s">
        <v>8</v>
      </c>
      <c r="F2" s="6" t="s">
        <v>12</v>
      </c>
      <c r="G2" t="s">
        <v>266</v>
      </c>
      <c r="H2" t="s">
        <v>267</v>
      </c>
      <c r="I2" t="s">
        <v>268</v>
      </c>
    </row>
    <row r="3" spans="1:10">
      <c r="A3" s="6" t="s">
        <v>34</v>
      </c>
      <c r="B3" s="48">
        <v>2</v>
      </c>
      <c r="C3" s="8" t="str">
        <f t="shared" si="0"/>
        <v>00002</v>
      </c>
      <c r="D3" s="9" t="str">
        <f>IF(AND(EXACT(LEN(TRIM(H3)),0), EXACT(LEN(TRIM(G3)),0)),"",A3&amp;"_"&amp;VLOOKUP(E3,Valores!$D$3:$E$4,2,FALSE)&amp;"_"&amp;VLOOKUP(F3,Valores!$A$3:$B$8,2,FALSE)&amp;"_"&amp;C3)</f>
        <v>Cliente_USU_ERR_00002</v>
      </c>
      <c r="E3" s="6" t="s">
        <v>8</v>
      </c>
      <c r="F3" s="6" t="s">
        <v>26</v>
      </c>
      <c r="G3" t="s">
        <v>269</v>
      </c>
      <c r="H3" t="s">
        <v>270</v>
      </c>
      <c r="I3" t="s">
        <v>173</v>
      </c>
    </row>
    <row r="4" spans="1:10">
      <c r="A4" s="6" t="s">
        <v>34</v>
      </c>
      <c r="B4" s="48">
        <v>3</v>
      </c>
      <c r="C4" s="8" t="str">
        <f t="shared" si="0"/>
        <v>00003</v>
      </c>
      <c r="D4" s="9" t="str">
        <f>IF(AND(EXACT(LEN(TRIM(H4)),0), EXACT(LEN(TRIM(G4)),0)),"",A4&amp;"_"&amp;VLOOKUP(E4,Valores!$D$3:$E$4,2,FALSE)&amp;"_"&amp;VLOOKUP(F4,Valores!$A$3:$B$8,2,FALSE)&amp;"_"&amp;C4)</f>
        <v>Cliente_USU_ERR_00003</v>
      </c>
      <c r="E4" s="6" t="s">
        <v>8</v>
      </c>
      <c r="F4" s="6" t="s">
        <v>26</v>
      </c>
      <c r="G4" t="s">
        <v>271</v>
      </c>
      <c r="H4" t="s">
        <v>272</v>
      </c>
      <c r="I4" t="s">
        <v>273</v>
      </c>
    </row>
    <row r="5" spans="1:10">
      <c r="A5" s="6" t="s">
        <v>34</v>
      </c>
      <c r="B5" s="48">
        <v>4</v>
      </c>
      <c r="C5" s="8" t="str">
        <f t="shared" si="0"/>
        <v>00004</v>
      </c>
      <c r="D5" s="9" t="str">
        <f>IF(AND(EXACT(LEN(TRIM(H5)),0), EXACT(LEN(TRIM(G5)),0)),"",A5&amp;"_"&amp;VLOOKUP(E5,Valores!$D$3:$E$4,2,FALSE)&amp;"_"&amp;VLOOKUP(F5,Valores!$A$3:$B$8,2,FALSE)&amp;"_"&amp;C5)</f>
        <v>Cliente_USU_ERR_00004</v>
      </c>
      <c r="E5" s="6" t="s">
        <v>8</v>
      </c>
      <c r="F5" s="6" t="s">
        <v>26</v>
      </c>
      <c r="G5" t="s">
        <v>201</v>
      </c>
      <c r="H5" t="s">
        <v>274</v>
      </c>
      <c r="I5" t="s">
        <v>275</v>
      </c>
    </row>
    <row r="7" spans="1:10">
      <c r="A7" s="60" t="s">
        <v>276</v>
      </c>
      <c r="B7" s="60"/>
      <c r="C7" s="60"/>
      <c r="D7" s="60"/>
      <c r="E7" s="60"/>
      <c r="F7" s="60"/>
      <c r="G7" s="60"/>
      <c r="H7" s="60"/>
      <c r="I7" s="60"/>
      <c r="J7" s="60"/>
    </row>
    <row r="9" spans="1:10">
      <c r="A9" s="5" t="s">
        <v>2</v>
      </c>
      <c r="B9" s="12" t="s">
        <v>54</v>
      </c>
      <c r="C9" s="13" t="s">
        <v>54</v>
      </c>
      <c r="D9" s="45" t="s">
        <v>55</v>
      </c>
      <c r="E9" s="46" t="s">
        <v>56</v>
      </c>
      <c r="F9" s="14" t="s">
        <v>0</v>
      </c>
      <c r="G9" s="14" t="s">
        <v>57</v>
      </c>
      <c r="H9" s="14" t="s">
        <v>58</v>
      </c>
      <c r="I9" s="14" t="s">
        <v>59</v>
      </c>
    </row>
    <row r="10" spans="1:10">
      <c r="A10" s="6" t="s">
        <v>34</v>
      </c>
      <c r="B10" s="48">
        <v>5</v>
      </c>
      <c r="C10" s="8" t="str">
        <f t="shared" ref="C10" si="1">RIGHT("0000"&amp;B10,5)</f>
        <v>00005</v>
      </c>
      <c r="D10" s="9" t="str">
        <f>IF(AND(EXACT(LEN(TRIM(H10)),0), EXACT(LEN(TRIM(G10)),0)),"",A10&amp;"_"&amp;VLOOKUP(E10,Valores!$D$3:$E$4,2,FALSE)&amp;"_"&amp;VLOOKUP(F10,Valores!$A$3:$B$8,2,FALSE)&amp;"_"&amp;C10)</f>
        <v>Cliente_USU_EXI_00005</v>
      </c>
      <c r="E10" t="s">
        <v>8</v>
      </c>
      <c r="F10" s="6" t="s">
        <v>12</v>
      </c>
      <c r="G10" t="s">
        <v>277</v>
      </c>
      <c r="H10" t="s">
        <v>278</v>
      </c>
      <c r="I10" t="s">
        <v>279</v>
      </c>
    </row>
  </sheetData>
  <mergeCells count="1">
    <mergeCell ref="A7:J7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Dato inválido" error="Valor no válido. Sólo los especificados en la lista" xr:uid="{33F2A9E3-41AF-49A9-86C2-17187D22D12E}">
          <x14:formula1>
            <xm:f>Valores!$A$3:$A$8</xm:f>
          </x14:formula1>
          <xm:sqref>F2:F5 F10</xm:sqref>
        </x14:dataValidation>
        <x14:dataValidation type="list" allowBlank="1" showInputMessage="1" showErrorMessage="1" xr:uid="{7F113728-E670-43EF-8B0A-D63BF05C6900}">
          <x14:formula1>
            <xm:f>Valores!$G$3:$G$9</xm:f>
          </x14:formula1>
          <xm:sqref>A2:A5 A10</xm:sqref>
        </x14:dataValidation>
        <x14:dataValidation type="list" allowBlank="1" showInputMessage="1" showErrorMessage="1" errorTitle="Dato inválido" error="Valor no válido. Sólo los especificados en la lista" xr:uid="{3BFB1478-DDC6-468B-83E5-5718001DE1AD}">
          <x14:formula1>
            <xm:f>Valores!$D$3:$D$4</xm:f>
          </x14:formula1>
          <xm:sqref>E2:E5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FE82-C09C-4EAC-8F38-5D7CA69A5113}">
  <dimension ref="A1:J9"/>
  <sheetViews>
    <sheetView topLeftCell="B1" workbookViewId="0">
      <selection activeCell="D32" sqref="D32"/>
    </sheetView>
  </sheetViews>
  <sheetFormatPr defaultColWidth="9.140625" defaultRowHeight="15"/>
  <cols>
    <col min="1" max="1" width="19.7109375" customWidth="1"/>
    <col min="2" max="2" width="22.5703125" customWidth="1"/>
    <col min="3" max="3" width="24.140625" customWidth="1"/>
    <col min="4" max="4" width="27.85546875" customWidth="1"/>
    <col min="5" max="5" width="21.5703125" customWidth="1"/>
    <col min="6" max="6" width="35.7109375" customWidth="1"/>
    <col min="7" max="7" width="67.42578125" customWidth="1"/>
    <col min="8" max="8" width="98.42578125" customWidth="1"/>
    <col min="9" max="9" width="57.85546875" customWidth="1"/>
  </cols>
  <sheetData>
    <row r="1" spans="1:10">
      <c r="A1" s="5" t="s">
        <v>2</v>
      </c>
      <c r="B1" s="12" t="s">
        <v>54</v>
      </c>
      <c r="C1" s="13" t="s">
        <v>54</v>
      </c>
      <c r="D1" s="45" t="s">
        <v>55</v>
      </c>
      <c r="E1" s="46" t="s">
        <v>56</v>
      </c>
      <c r="F1" s="14" t="s">
        <v>0</v>
      </c>
      <c r="G1" s="14" t="s">
        <v>57</v>
      </c>
      <c r="H1" s="14" t="s">
        <v>58</v>
      </c>
      <c r="I1" s="14" t="s">
        <v>59</v>
      </c>
    </row>
    <row r="2" spans="1:10">
      <c r="A2" s="6" t="s">
        <v>36</v>
      </c>
      <c r="B2" s="48">
        <v>1</v>
      </c>
      <c r="C2" s="8" t="str">
        <f t="shared" ref="C2:C4" si="0">RIGHT("0000"&amp;B2,5)</f>
        <v>00001</v>
      </c>
      <c r="D2" s="9" t="str">
        <f>IF(AND(EXACT(LEN(TRIM(H2)),0), EXACT(LEN(TRIM(G2)),0)),"",A2&amp;"_"&amp;VLOOKUP(E2,Valores!$D$3:$E$4,2,FALSE)&amp;"_"&amp;VLOOKUP(F2,Valores!$A$3:$B$8,2,FALSE)&amp;"_"&amp;C2)</f>
        <v>Sede_USU_EXI_00001</v>
      </c>
      <c r="E2" s="6" t="s">
        <v>8</v>
      </c>
      <c r="F2" s="6" t="s">
        <v>12</v>
      </c>
      <c r="G2" t="s">
        <v>280</v>
      </c>
      <c r="H2" t="s">
        <v>281</v>
      </c>
      <c r="I2" t="s">
        <v>282</v>
      </c>
    </row>
    <row r="3" spans="1:10">
      <c r="A3" s="6" t="s">
        <v>36</v>
      </c>
      <c r="B3" s="48">
        <v>2</v>
      </c>
      <c r="C3" s="8" t="str">
        <f t="shared" si="0"/>
        <v>00002</v>
      </c>
      <c r="D3" s="9" t="str">
        <f>IF(AND(EXACT(LEN(TRIM(H3)),0), EXACT(LEN(TRIM(G3)),0)),"",A3&amp;"_"&amp;VLOOKUP(E3,Valores!$D$3:$E$4,2,FALSE)&amp;"_"&amp;VLOOKUP(F3,Valores!$A$3:$B$8,2,FALSE)&amp;"_"&amp;C3)</f>
        <v>Sede_USU_ERR_00002</v>
      </c>
      <c r="E3" s="6" t="s">
        <v>8</v>
      </c>
      <c r="F3" s="6" t="s">
        <v>26</v>
      </c>
      <c r="G3" t="s">
        <v>283</v>
      </c>
      <c r="H3" t="s">
        <v>284</v>
      </c>
      <c r="I3" t="s">
        <v>285</v>
      </c>
    </row>
    <row r="4" spans="1:10">
      <c r="A4" s="6" t="s">
        <v>36</v>
      </c>
      <c r="B4" s="48">
        <v>3</v>
      </c>
      <c r="C4" s="8" t="str">
        <f t="shared" si="0"/>
        <v>00003</v>
      </c>
      <c r="D4" s="9" t="str">
        <f>IF(AND(EXACT(LEN(TRIM(H4)),0), EXACT(LEN(TRIM(G4)),0)),"",A4&amp;"_"&amp;VLOOKUP(E4,Valores!$D$3:$E$4,2,FALSE)&amp;"_"&amp;VLOOKUP(F4,Valores!$A$3:$B$8,2,FALSE)&amp;"_"&amp;C4)</f>
        <v>Sede_USU_ERR_00003</v>
      </c>
      <c r="E4" s="6" t="s">
        <v>8</v>
      </c>
      <c r="F4" s="6" t="s">
        <v>26</v>
      </c>
      <c r="G4" t="s">
        <v>201</v>
      </c>
      <c r="H4" t="s">
        <v>172</v>
      </c>
      <c r="I4" t="s">
        <v>286</v>
      </c>
    </row>
    <row r="6" spans="1:10">
      <c r="A6" s="60" t="s">
        <v>287</v>
      </c>
      <c r="B6" s="60"/>
      <c r="C6" s="60"/>
      <c r="D6" s="60"/>
      <c r="E6" s="60"/>
      <c r="F6" s="60"/>
      <c r="G6" s="60"/>
      <c r="H6" s="60"/>
      <c r="I6" s="60"/>
      <c r="J6" s="60"/>
    </row>
    <row r="8" spans="1:10">
      <c r="A8" s="5" t="s">
        <v>2</v>
      </c>
      <c r="B8" s="12" t="s">
        <v>54</v>
      </c>
      <c r="C8" s="13" t="s">
        <v>54</v>
      </c>
      <c r="D8" s="45" t="s">
        <v>55</v>
      </c>
      <c r="E8" s="46" t="s">
        <v>56</v>
      </c>
      <c r="F8" s="14" t="s">
        <v>0</v>
      </c>
      <c r="G8" s="14" t="s">
        <v>57</v>
      </c>
      <c r="H8" s="14" t="s">
        <v>58</v>
      </c>
      <c r="I8" s="14" t="s">
        <v>59</v>
      </c>
    </row>
    <row r="9" spans="1:10">
      <c r="A9" s="6" t="s">
        <v>36</v>
      </c>
      <c r="B9" s="48">
        <v>4</v>
      </c>
      <c r="C9" s="8" t="str">
        <f t="shared" ref="C9" si="1">RIGHT("0000"&amp;B9,5)</f>
        <v>00004</v>
      </c>
      <c r="D9" s="9" t="str">
        <f>IF(AND(EXACT(LEN(TRIM(H9)),0), EXACT(LEN(TRIM(G9)),0)),"",A9&amp;"_"&amp;VLOOKUP(E9,Valores!$D$3:$E$4,2,FALSE)&amp;"_"&amp;VLOOKUP(F9,Valores!$A$3:$B$8,2,FALSE)&amp;"_"&amp;C9)</f>
        <v>Sede_USU_EXI_00004</v>
      </c>
      <c r="E9" s="6" t="s">
        <v>8</v>
      </c>
      <c r="F9" s="6" t="s">
        <v>12</v>
      </c>
      <c r="G9" t="s">
        <v>288</v>
      </c>
      <c r="H9" t="s">
        <v>289</v>
      </c>
      <c r="I9" t="s">
        <v>282</v>
      </c>
    </row>
  </sheetData>
  <mergeCells count="1">
    <mergeCell ref="A6:J6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Dato inválido" error="Valor no válido. Sólo los especificados en la lista" xr:uid="{C4D73ED9-22F6-46A6-AFBB-990DA284C103}">
          <x14:formula1>
            <xm:f>Valores!$D$3:$D$4</xm:f>
          </x14:formula1>
          <xm:sqref>E2:E4 E9</xm:sqref>
        </x14:dataValidation>
        <x14:dataValidation type="list" allowBlank="1" showInputMessage="1" showErrorMessage="1" errorTitle="Dato inválido" error="Valor no válido. Sólo los especificados en la lista" xr:uid="{59C7B5FC-6899-460D-ACB1-811040CA35DC}">
          <x14:formula1>
            <xm:f>Valores!$A$3:$A$8</xm:f>
          </x14:formula1>
          <xm:sqref>F2:F4 F9</xm:sqref>
        </x14:dataValidation>
        <x14:dataValidation type="list" allowBlank="1" showInputMessage="1" showErrorMessage="1" xr:uid="{2C6A5D32-E64E-4566-9566-86A6996CF9BE}">
          <x14:formula1>
            <xm:f>Valores!$G$3:$G$11</xm:f>
          </x14:formula1>
          <xm:sqref>A2:A4 A9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6C2F2-6077-453C-AD8B-F880D1942C20}">
  <dimension ref="A1:I22"/>
  <sheetViews>
    <sheetView workbookViewId="0">
      <selection activeCell="A17" sqref="A17:I17"/>
    </sheetView>
  </sheetViews>
  <sheetFormatPr defaultColWidth="9.140625" defaultRowHeight="15"/>
  <cols>
    <col min="1" max="1" width="19.7109375" customWidth="1"/>
    <col min="2" max="2" width="22.5703125" customWidth="1"/>
    <col min="3" max="3" width="24.140625" customWidth="1"/>
    <col min="4" max="4" width="27.85546875" customWidth="1"/>
    <col min="5" max="5" width="21.5703125" customWidth="1"/>
    <col min="6" max="6" width="35.7109375" customWidth="1"/>
    <col min="7" max="7" width="67.42578125" customWidth="1"/>
    <col min="8" max="8" width="110.28515625" bestFit="1" customWidth="1"/>
    <col min="9" max="9" width="90.140625" customWidth="1"/>
    <col min="10" max="10" width="125.5703125" bestFit="1" customWidth="1"/>
    <col min="11" max="11" width="93.85546875" bestFit="1" customWidth="1"/>
  </cols>
  <sheetData>
    <row r="1" spans="1:9">
      <c r="A1" s="5" t="s">
        <v>2</v>
      </c>
      <c r="B1" s="12" t="s">
        <v>54</v>
      </c>
      <c r="C1" s="13" t="s">
        <v>54</v>
      </c>
      <c r="D1" s="45" t="s">
        <v>55</v>
      </c>
      <c r="E1" s="46" t="s">
        <v>56</v>
      </c>
      <c r="F1" s="14" t="s">
        <v>0</v>
      </c>
      <c r="G1" s="14" t="s">
        <v>57</v>
      </c>
      <c r="H1" s="14" t="s">
        <v>58</v>
      </c>
      <c r="I1" s="14" t="s">
        <v>59</v>
      </c>
    </row>
    <row r="2" spans="1:9">
      <c r="A2" s="6" t="s">
        <v>40</v>
      </c>
      <c r="B2" s="53" t="s">
        <v>60</v>
      </c>
      <c r="C2" s="8" t="str">
        <f>RIGHT("0000"&amp;B2,5)</f>
        <v>00001</v>
      </c>
      <c r="D2" s="9" t="str">
        <f>IF(AND(EXACT(LEN(TRIM(H2)),0), EXACT(LEN(TRIM(G2)),0)),"",A2&amp;"_"&amp;VLOOKUP(E2,Valores!$D$3:$E$4,2,FALSE)&amp;"_"&amp;VLOOKUP(F2,Valores!$A$3:$B$8,2,FALSE)&amp;"_"&amp;C2)</f>
        <v>Venta_USU_EXI_00001</v>
      </c>
      <c r="E2" s="6" t="s">
        <v>8</v>
      </c>
      <c r="F2" s="6" t="s">
        <v>12</v>
      </c>
      <c r="G2" s="52" t="s">
        <v>290</v>
      </c>
      <c r="H2" s="52" t="s">
        <v>291</v>
      </c>
      <c r="I2" s="52" t="s">
        <v>292</v>
      </c>
    </row>
    <row r="3" spans="1:9">
      <c r="A3" s="6" t="s">
        <v>40</v>
      </c>
      <c r="B3" s="48">
        <v>2</v>
      </c>
      <c r="C3" s="8" t="str">
        <f>RIGHT("0000"&amp;B3,5)</f>
        <v>00002</v>
      </c>
      <c r="D3" s="9" t="str">
        <f>IF(AND(EXACT(LEN(TRIM(H3)),0), EXACT(LEN(TRIM(G3)),0)),"",A3&amp;"_"&amp;VLOOKUP(E3,Valores!$D$3:$E$4,2,FALSE)&amp;"_"&amp;VLOOKUP(F3,Valores!$A$3:$B$8,2,FALSE)&amp;"_"&amp;C3)</f>
        <v>Venta_USU_ERR_00002</v>
      </c>
      <c r="E3" s="6" t="s">
        <v>8</v>
      </c>
      <c r="F3" s="6" t="s">
        <v>26</v>
      </c>
      <c r="G3" s="52" t="s">
        <v>79</v>
      </c>
      <c r="H3" s="52" t="s">
        <v>293</v>
      </c>
      <c r="I3" s="52" t="s">
        <v>294</v>
      </c>
    </row>
    <row r="4" spans="1:9">
      <c r="A4" s="6" t="s">
        <v>40</v>
      </c>
      <c r="B4" s="48">
        <v>3</v>
      </c>
      <c r="C4" s="8" t="str">
        <f t="shared" ref="C4" si="0">RIGHT("0000"&amp;B4,5)</f>
        <v>00003</v>
      </c>
      <c r="D4" s="9" t="str">
        <f>IF(AND(EXACT(LEN(TRIM(H4)),0), EXACT(LEN(TRIM(G4)),0)),"",A4&amp;"_"&amp;VLOOKUP(E4,Valores!$D$3:$E$4,2,FALSE)&amp;"_"&amp;VLOOKUP(F4,Valores!$A$3:$B$8,2,FALSE)&amp;"_"&amp;C4)</f>
        <v>Venta_USU_ERR_00003</v>
      </c>
      <c r="E4" s="6" t="s">
        <v>8</v>
      </c>
      <c r="F4" s="6" t="s">
        <v>26</v>
      </c>
      <c r="G4" s="52" t="s">
        <v>201</v>
      </c>
      <c r="H4" s="52" t="s">
        <v>172</v>
      </c>
      <c r="I4" s="52" t="s">
        <v>295</v>
      </c>
    </row>
    <row r="5" spans="1:9">
      <c r="A5" s="6" t="s">
        <v>40</v>
      </c>
      <c r="B5" s="48">
        <v>4</v>
      </c>
      <c r="C5" s="8" t="str">
        <f>RIGHT("0000"&amp;B5,5)</f>
        <v>00004</v>
      </c>
      <c r="D5" s="9" t="str">
        <f>IF(AND(EXACT(LEN(TRIM(H5)),0), EXACT(LEN(TRIM(G5)),0)),"",A5&amp;"_"&amp;VLOOKUP(E5,Valores!$D$3:$E$4,2,FALSE)&amp;"_"&amp;VLOOKUP(F5,Valores!$A$3:$B$8,2,FALSE)&amp;"_"&amp;C5)</f>
        <v>Venta_USU_EXI_00004</v>
      </c>
      <c r="E5" s="6" t="s">
        <v>8</v>
      </c>
      <c r="F5" s="6" t="s">
        <v>12</v>
      </c>
      <c r="G5" s="52" t="s">
        <v>205</v>
      </c>
      <c r="H5" s="52" t="s">
        <v>296</v>
      </c>
      <c r="I5" s="52" t="s">
        <v>297</v>
      </c>
    </row>
    <row r="6" spans="1:9">
      <c r="A6" s="6" t="s">
        <v>40</v>
      </c>
      <c r="B6" s="48">
        <v>5</v>
      </c>
      <c r="C6" s="8" t="str">
        <f t="shared" ref="C6:C7" si="1">RIGHT("0000"&amp;B6,5)</f>
        <v>00005</v>
      </c>
      <c r="D6" s="9" t="str">
        <f>IF(AND(EXACT(LEN(TRIM(H6)),0), EXACT(LEN(TRIM(G6)),0)),"",A6&amp;"_"&amp;VLOOKUP(E6,Valores!$D$3:$E$4,2,FALSE)&amp;"_"&amp;VLOOKUP(F6,Valores!$A$3:$B$8,2,FALSE)&amp;"_"&amp;C6)</f>
        <v>Venta_USU_INF_00005</v>
      </c>
      <c r="E6" s="6" t="s">
        <v>8</v>
      </c>
      <c r="F6" s="6" t="s">
        <v>6</v>
      </c>
      <c r="G6" s="52" t="s">
        <v>298</v>
      </c>
      <c r="H6" s="52" t="s">
        <v>299</v>
      </c>
      <c r="I6" s="52" t="s">
        <v>300</v>
      </c>
    </row>
    <row r="7" spans="1:9">
      <c r="A7" s="6" t="s">
        <v>40</v>
      </c>
      <c r="B7" s="48">
        <v>6</v>
      </c>
      <c r="C7" s="8" t="str">
        <f t="shared" si="1"/>
        <v>00006</v>
      </c>
      <c r="D7" s="9" t="str">
        <f>IF(AND(EXACT(LEN(TRIM(H7)),0), EXACT(LEN(TRIM(G7)),0)),"",A7&amp;"_"&amp;VLOOKUP(E7,Valores!$D$3:$E$4,2,FALSE)&amp;"_"&amp;VLOOKUP(F7,Valores!$A$3:$B$8,2,FALSE)&amp;"_"&amp;C7)</f>
        <v>Venta_USU_ERR_00006</v>
      </c>
      <c r="E7" s="6" t="s">
        <v>8</v>
      </c>
      <c r="F7" s="6" t="s">
        <v>26</v>
      </c>
      <c r="G7" s="52" t="s">
        <v>301</v>
      </c>
      <c r="H7" s="52" t="s">
        <v>302</v>
      </c>
      <c r="I7" s="52" t="s">
        <v>303</v>
      </c>
    </row>
    <row r="10" spans="1:9">
      <c r="A10" s="60" t="s">
        <v>304</v>
      </c>
      <c r="B10" s="60"/>
      <c r="C10" s="60"/>
      <c r="D10" s="60"/>
      <c r="E10" s="60"/>
      <c r="F10" s="60"/>
      <c r="G10" s="60"/>
      <c r="H10" s="60"/>
      <c r="I10" s="60"/>
    </row>
    <row r="11" spans="1:9">
      <c r="A11" s="50"/>
      <c r="B11" s="50"/>
      <c r="C11" s="50"/>
      <c r="D11" s="50"/>
      <c r="E11" s="50"/>
      <c r="F11" s="50"/>
      <c r="G11" s="50"/>
      <c r="H11" s="50"/>
      <c r="I11" s="50"/>
    </row>
    <row r="12" spans="1:9">
      <c r="A12" s="5" t="s">
        <v>2</v>
      </c>
      <c r="B12" s="12" t="s">
        <v>54</v>
      </c>
      <c r="C12" s="13" t="s">
        <v>54</v>
      </c>
      <c r="D12" s="45" t="s">
        <v>55</v>
      </c>
      <c r="E12" s="46" t="s">
        <v>56</v>
      </c>
      <c r="F12" s="14" t="s">
        <v>0</v>
      </c>
      <c r="G12" s="14" t="s">
        <v>57</v>
      </c>
      <c r="H12" s="14" t="s">
        <v>58</v>
      </c>
      <c r="I12" s="14" t="s">
        <v>59</v>
      </c>
    </row>
    <row r="13" spans="1:9">
      <c r="A13" s="6" t="s">
        <v>40</v>
      </c>
      <c r="B13" s="48">
        <v>7</v>
      </c>
      <c r="C13" s="8" t="str">
        <f t="shared" ref="C13:C15" si="2">RIGHT("0000"&amp;B13,5)</f>
        <v>00007</v>
      </c>
      <c r="D13" s="9" t="str">
        <f>IF(AND(EXACT(LEN(TRIM(H13)),0), EXACT(LEN(TRIM(G13)),0)),"",A13&amp;"_"&amp;VLOOKUP(E13,Valores!$D$3:$E$4,2,FALSE)&amp;"_"&amp;VLOOKUP(F13,Valores!$A$3:$B$8,2,FALSE)&amp;"_"&amp;C13)</f>
        <v>Venta_USU_INF_00007</v>
      </c>
      <c r="E13" s="6" t="s">
        <v>8</v>
      </c>
      <c r="F13" s="6" t="s">
        <v>6</v>
      </c>
      <c r="G13" s="51" t="s">
        <v>305</v>
      </c>
      <c r="H13" s="51" t="s">
        <v>306</v>
      </c>
      <c r="I13" s="51" t="s">
        <v>307</v>
      </c>
    </row>
    <row r="14" spans="1:9">
      <c r="A14" s="6" t="s">
        <v>40</v>
      </c>
      <c r="B14" s="48">
        <v>8</v>
      </c>
      <c r="C14" s="8" t="str">
        <f t="shared" si="2"/>
        <v>00008</v>
      </c>
      <c r="D14" s="9" t="str">
        <f>IF(AND(EXACT(LEN(TRIM(H14)),0), EXACT(LEN(TRIM(G14)),0)),"",A14&amp;"_"&amp;VLOOKUP(E14,Valores!$D$3:$E$4,2,FALSE)&amp;"_"&amp;VLOOKUP(F14,Valores!$A$3:$B$8,2,FALSE)&amp;"_"&amp;C14)</f>
        <v>Venta_USU_INF_00008</v>
      </c>
      <c r="E14" s="6" t="s">
        <v>8</v>
      </c>
      <c r="F14" s="6" t="s">
        <v>6</v>
      </c>
      <c r="G14" s="51" t="s">
        <v>308</v>
      </c>
      <c r="H14" s="51" t="s">
        <v>309</v>
      </c>
      <c r="I14" s="51" t="s">
        <v>310</v>
      </c>
    </row>
    <row r="15" spans="1:9">
      <c r="A15" s="6" t="s">
        <v>40</v>
      </c>
      <c r="B15" s="48">
        <v>9</v>
      </c>
      <c r="C15" s="8" t="str">
        <f t="shared" si="2"/>
        <v>00009</v>
      </c>
      <c r="D15" s="9" t="str">
        <f>IF(AND(EXACT(LEN(TRIM(H15)),0), EXACT(LEN(TRIM(G15)),0)),"",A15&amp;"_"&amp;VLOOKUP(E15,Valores!$D$3:$E$4,2,FALSE)&amp;"_"&amp;VLOOKUP(F15,Valores!$A$3:$B$8,2,FALSE)&amp;"_"&amp;C15)</f>
        <v>Venta_USU_INF_00009</v>
      </c>
      <c r="E15" s="6" t="s">
        <v>8</v>
      </c>
      <c r="F15" s="6" t="s">
        <v>6</v>
      </c>
      <c r="G15" s="51" t="s">
        <v>311</v>
      </c>
      <c r="H15" s="51" t="s">
        <v>312</v>
      </c>
      <c r="I15" s="51" t="s">
        <v>154</v>
      </c>
    </row>
    <row r="17" spans="1:9">
      <c r="A17" s="60" t="s">
        <v>313</v>
      </c>
      <c r="B17" s="60"/>
      <c r="C17" s="60"/>
      <c r="D17" s="60"/>
      <c r="E17" s="60"/>
      <c r="F17" s="60"/>
      <c r="G17" s="60"/>
      <c r="H17" s="60"/>
      <c r="I17" s="60"/>
    </row>
    <row r="19" spans="1:9">
      <c r="A19" s="5" t="s">
        <v>2</v>
      </c>
      <c r="B19" s="12" t="s">
        <v>54</v>
      </c>
      <c r="C19" s="13" t="s">
        <v>54</v>
      </c>
      <c r="D19" s="45" t="s">
        <v>55</v>
      </c>
      <c r="E19" s="46" t="s">
        <v>56</v>
      </c>
      <c r="F19" s="14" t="s">
        <v>0</v>
      </c>
      <c r="G19" s="14" t="s">
        <v>57</v>
      </c>
      <c r="H19" s="14" t="s">
        <v>58</v>
      </c>
      <c r="I19" s="14" t="s">
        <v>59</v>
      </c>
    </row>
    <row r="20" spans="1:9">
      <c r="A20" s="6" t="s">
        <v>40</v>
      </c>
      <c r="B20" s="48">
        <v>11</v>
      </c>
      <c r="C20" s="8" t="str">
        <f>RIGHT("0000"&amp;B20,5)</f>
        <v>00011</v>
      </c>
      <c r="D20" s="9" t="str">
        <f>IF(AND(EXACT(LEN(TRIM(H20)),0), EXACT(LEN(TRIM(G20)),0)),"",A20&amp;"_"&amp;VLOOKUP(E20,Valores!$D$3:$E$4,2,FALSE)&amp;"_"&amp;VLOOKUP(F20,Valores!$A$3:$B$8,2,FALSE)&amp;"_"&amp;C20)</f>
        <v>Venta_USU_EXI_00011</v>
      </c>
      <c r="E20" s="6" t="s">
        <v>8</v>
      </c>
      <c r="F20" s="6" t="s">
        <v>12</v>
      </c>
      <c r="G20" s="51" t="s">
        <v>314</v>
      </c>
      <c r="H20" s="51" t="s">
        <v>315</v>
      </c>
      <c r="I20" s="51" t="s">
        <v>316</v>
      </c>
    </row>
    <row r="21" spans="1:9">
      <c r="A21" s="6" t="s">
        <v>40</v>
      </c>
      <c r="B21" s="48">
        <v>12</v>
      </c>
      <c r="C21" s="8" t="str">
        <f t="shared" ref="C21:C22" si="3">RIGHT("0000"&amp;B21,5)</f>
        <v>00012</v>
      </c>
      <c r="D21" s="9" t="str">
        <f>IF(AND(EXACT(LEN(TRIM(H21)),0), EXACT(LEN(TRIM(G21)),0)),"",A21&amp;"_"&amp;VLOOKUP(E21,Valores!$D$3:$E$4,2,FALSE)&amp;"_"&amp;VLOOKUP(F21,Valores!$A$3:$B$8,2,FALSE)&amp;"_"&amp;C21)</f>
        <v>Venta_USU_EXI_00012</v>
      </c>
      <c r="E21" s="6" t="s">
        <v>8</v>
      </c>
      <c r="F21" s="6" t="s">
        <v>12</v>
      </c>
      <c r="G21" s="51" t="s">
        <v>317</v>
      </c>
      <c r="H21" s="51" t="s">
        <v>318</v>
      </c>
      <c r="I21" s="51" t="s">
        <v>319</v>
      </c>
    </row>
    <row r="22" spans="1:9">
      <c r="A22" s="6" t="s">
        <v>40</v>
      </c>
      <c r="B22" s="48">
        <v>13</v>
      </c>
      <c r="C22" s="8" t="str">
        <f t="shared" si="3"/>
        <v>00013</v>
      </c>
      <c r="D22" s="9" t="str">
        <f>IF(AND(EXACT(LEN(TRIM(H22)),0), EXACT(LEN(TRIM(G22)),0)),"",A22&amp;"_"&amp;VLOOKUP(E22,Valores!$D$3:$E$4,2,FALSE)&amp;"_"&amp;VLOOKUP(F22,Valores!$A$3:$B$8,2,FALSE)&amp;"_"&amp;C22)</f>
        <v>Venta_USU_ADV_00013</v>
      </c>
      <c r="E22" s="6" t="s">
        <v>8</v>
      </c>
      <c r="F22" s="6" t="s">
        <v>18</v>
      </c>
      <c r="G22" s="51" t="s">
        <v>320</v>
      </c>
      <c r="H22" s="51" t="s">
        <v>321</v>
      </c>
      <c r="I22" s="51" t="s">
        <v>316</v>
      </c>
    </row>
  </sheetData>
  <mergeCells count="2">
    <mergeCell ref="A10:I10"/>
    <mergeCell ref="A17:I17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Dato inválido" error="Valor no válido. Sólo los especificados en la lista" xr:uid="{B0D1C506-902F-461D-A224-C55ED70E8E28}">
          <x14:formula1>
            <xm:f>Valores!$A$3:$A$8</xm:f>
          </x14:formula1>
          <xm:sqref>F20:F22 F13:F15 F2:F7</xm:sqref>
        </x14:dataValidation>
        <x14:dataValidation type="list" allowBlank="1" showInputMessage="1" showErrorMessage="1" errorTitle="Dato inválido" error="Valor no válido. Sólo los especificados en la lista" xr:uid="{A98F8CA3-57F6-43B8-AF79-E5383EED59C8}">
          <x14:formula1>
            <xm:f>Valores!$D$3:$D$4</xm:f>
          </x14:formula1>
          <xm:sqref>E20:E22 E13:E15 E2:E7</xm:sqref>
        </x14:dataValidation>
        <x14:dataValidation type="list" allowBlank="1" showInputMessage="1" showErrorMessage="1" xr:uid="{56F5C7F4-2249-4938-BBC8-5564B5954B2C}">
          <x14:formula1>
            <xm:f>Valores!$G$3:$G$12</xm:f>
          </x14:formula1>
          <xm:sqref>A20:A22 A13:A15 A2:A7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E671-A9CC-40AD-A06D-B8798224A82D}">
  <dimension ref="A1:I12"/>
  <sheetViews>
    <sheetView topLeftCell="B1" workbookViewId="0">
      <selection activeCell="G3" sqref="G3"/>
    </sheetView>
  </sheetViews>
  <sheetFormatPr defaultColWidth="9.140625" defaultRowHeight="15"/>
  <cols>
    <col min="1" max="1" width="19.7109375" customWidth="1"/>
    <col min="2" max="2" width="22.5703125" customWidth="1"/>
    <col min="3" max="3" width="24.140625" customWidth="1"/>
    <col min="4" max="4" width="27.85546875" customWidth="1"/>
    <col min="5" max="5" width="21.5703125" customWidth="1"/>
    <col min="6" max="6" width="35.7109375" customWidth="1"/>
    <col min="7" max="7" width="67.42578125" customWidth="1"/>
    <col min="8" max="8" width="110.28515625" bestFit="1" customWidth="1"/>
    <col min="9" max="9" width="90.140625" customWidth="1"/>
    <col min="10" max="10" width="125.5703125" bestFit="1" customWidth="1"/>
    <col min="11" max="11" width="93.85546875" bestFit="1" customWidth="1"/>
  </cols>
  <sheetData>
    <row r="1" spans="1:9">
      <c r="A1" s="5" t="s">
        <v>2</v>
      </c>
      <c r="B1" s="12" t="s">
        <v>54</v>
      </c>
      <c r="C1" s="13" t="s">
        <v>54</v>
      </c>
      <c r="D1" s="45" t="s">
        <v>55</v>
      </c>
      <c r="E1" s="46" t="s">
        <v>56</v>
      </c>
      <c r="F1" s="14" t="s">
        <v>0</v>
      </c>
      <c r="G1" s="14" t="s">
        <v>57</v>
      </c>
      <c r="H1" s="14" t="s">
        <v>58</v>
      </c>
      <c r="I1" s="14" t="s">
        <v>59</v>
      </c>
    </row>
    <row r="2" spans="1:9">
      <c r="A2" s="6" t="s">
        <v>42</v>
      </c>
      <c r="B2" s="48">
        <v>1</v>
      </c>
      <c r="C2" s="8" t="str">
        <f t="shared" ref="C2:C4" si="0">RIGHT("0000"&amp;B2,5)</f>
        <v>00001</v>
      </c>
      <c r="D2" s="9" t="str">
        <f>IF(AND(EXACT(LEN(TRIM(H2)),0), EXACT(LEN(TRIM(G2)),0)),"",A2&amp;"_"&amp;VLOOKUP(E2,Valores!$D$3:$E$4,2,FALSE)&amp;"_"&amp;VLOOKUP(F2,Valores!$A$3:$B$8,2,FALSE)&amp;"_"&amp;C2)</f>
        <v>Envio_USU_EXI_00001</v>
      </c>
      <c r="E2" s="6" t="s">
        <v>8</v>
      </c>
      <c r="F2" s="6" t="s">
        <v>12</v>
      </c>
      <c r="G2" s="51" t="s">
        <v>322</v>
      </c>
      <c r="H2" s="51" t="s">
        <v>323</v>
      </c>
      <c r="I2" s="51" t="s">
        <v>324</v>
      </c>
    </row>
    <row r="3" spans="1:9">
      <c r="A3" s="6" t="s">
        <v>42</v>
      </c>
      <c r="B3" s="48">
        <v>2</v>
      </c>
      <c r="C3" s="8" t="str">
        <f t="shared" si="0"/>
        <v>00002</v>
      </c>
      <c r="D3" s="9" t="str">
        <f>IF(AND(EXACT(LEN(TRIM(H3)),0), EXACT(LEN(TRIM(G3)),0)),"",A3&amp;"_"&amp;VLOOKUP(E3,Valores!$D$3:$E$4,2,FALSE)&amp;"_"&amp;VLOOKUP(F3,Valores!$A$3:$B$8,2,FALSE)&amp;"_"&amp;C3)</f>
        <v>Envio_USU_ERR_00002</v>
      </c>
      <c r="E3" s="6" t="s">
        <v>8</v>
      </c>
      <c r="F3" s="6" t="s">
        <v>26</v>
      </c>
      <c r="G3" s="51" t="s">
        <v>79</v>
      </c>
      <c r="H3" s="51" t="s">
        <v>293</v>
      </c>
      <c r="I3" s="51" t="s">
        <v>325</v>
      </c>
    </row>
    <row r="4" spans="1:9">
      <c r="A4" s="6" t="s">
        <v>42</v>
      </c>
      <c r="B4" s="48">
        <v>3</v>
      </c>
      <c r="C4" s="8" t="str">
        <f t="shared" si="0"/>
        <v>00003</v>
      </c>
      <c r="D4" s="9" t="str">
        <f>IF(AND(EXACT(LEN(TRIM(H4)),0), EXACT(LEN(TRIM(G4)),0)),"",A4&amp;"_"&amp;VLOOKUP(E4,Valores!$D$3:$E$4,2,FALSE)&amp;"_"&amp;VLOOKUP(F4,Valores!$A$3:$B$8,2,FALSE)&amp;"_"&amp;C4)</f>
        <v>Envio_USU_ERR_00003</v>
      </c>
      <c r="E4" s="6" t="s">
        <v>8</v>
      </c>
      <c r="F4" s="6" t="s">
        <v>26</v>
      </c>
      <c r="G4" s="51" t="s">
        <v>326</v>
      </c>
      <c r="H4" s="51" t="s">
        <v>327</v>
      </c>
      <c r="I4" s="51" t="s">
        <v>328</v>
      </c>
    </row>
    <row r="5" spans="1:9">
      <c r="A5" s="6" t="s">
        <v>42</v>
      </c>
      <c r="B5" s="48">
        <v>4</v>
      </c>
      <c r="C5" s="8" t="str">
        <f>RIGHT("0000"&amp;B5,5)</f>
        <v>00004</v>
      </c>
      <c r="D5" s="9" t="str">
        <f>IF(AND(EXACT(LEN(TRIM(H5)),0), EXACT(LEN(TRIM(G5)),0)),"",A5&amp;"_"&amp;VLOOKUP(E5,Valores!$D$3:$E$4,2,FALSE)&amp;"_"&amp;VLOOKUP(F5,Valores!$A$3:$B$8,2,FALSE)&amp;"_"&amp;C5)</f>
        <v>Envio_USU_INF_00004</v>
      </c>
      <c r="E5" s="6" t="s">
        <v>8</v>
      </c>
      <c r="F5" s="6" t="s">
        <v>6</v>
      </c>
      <c r="G5" s="51" t="s">
        <v>329</v>
      </c>
      <c r="H5" s="51" t="s">
        <v>330</v>
      </c>
      <c r="I5" s="51" t="s">
        <v>331</v>
      </c>
    </row>
    <row r="8" spans="1:9">
      <c r="A8" s="60" t="s">
        <v>332</v>
      </c>
      <c r="B8" s="60"/>
      <c r="C8" s="60"/>
      <c r="D8" s="60"/>
      <c r="E8" s="60"/>
      <c r="F8" s="60"/>
      <c r="G8" s="60"/>
      <c r="H8" s="60"/>
      <c r="I8" s="60"/>
    </row>
    <row r="9" spans="1:9">
      <c r="A9" s="50"/>
      <c r="B9" s="50"/>
      <c r="C9" s="50"/>
      <c r="D9" s="50"/>
      <c r="E9" s="50"/>
      <c r="F9" s="50"/>
      <c r="G9" s="50"/>
      <c r="H9" s="50"/>
      <c r="I9" s="50"/>
    </row>
    <row r="10" spans="1:9">
      <c r="A10" s="5" t="s">
        <v>2</v>
      </c>
      <c r="B10" s="12" t="s">
        <v>54</v>
      </c>
      <c r="C10" s="13" t="s">
        <v>54</v>
      </c>
      <c r="D10" s="45" t="s">
        <v>55</v>
      </c>
      <c r="E10" s="46" t="s">
        <v>56</v>
      </c>
      <c r="F10" s="14" t="s">
        <v>0</v>
      </c>
      <c r="G10" s="14" t="s">
        <v>57</v>
      </c>
      <c r="H10" s="14" t="s">
        <v>58</v>
      </c>
      <c r="I10" s="14" t="s">
        <v>59</v>
      </c>
    </row>
    <row r="11" spans="1:9" ht="30">
      <c r="A11" s="6" t="s">
        <v>42</v>
      </c>
      <c r="B11" s="48">
        <v>5</v>
      </c>
      <c r="C11" s="8" t="str">
        <f t="shared" ref="C11" si="1">RIGHT("0000"&amp;B11,5)</f>
        <v>00005</v>
      </c>
      <c r="D11" s="9" t="str">
        <f>IF(AND(EXACT(LEN(TRIM(H11)),0), EXACT(LEN(TRIM(G11)),0)),"",A11&amp;"_"&amp;VLOOKUP(E11,Valores!$D$3:$E$4,2,FALSE)&amp;"_"&amp;VLOOKUP(F11,Valores!$A$3:$B$8,2,FALSE)&amp;"_"&amp;C11)</f>
        <v>Envio_USU_EXI_00005</v>
      </c>
      <c r="E11" s="6" t="s">
        <v>8</v>
      </c>
      <c r="F11" s="6" t="s">
        <v>12</v>
      </c>
      <c r="G11" s="51" t="s">
        <v>333</v>
      </c>
      <c r="H11" s="51" t="s">
        <v>334</v>
      </c>
      <c r="I11" s="51" t="s">
        <v>335</v>
      </c>
    </row>
    <row r="12" spans="1:9" ht="30">
      <c r="A12" s="6" t="s">
        <v>42</v>
      </c>
      <c r="B12" s="48">
        <v>6</v>
      </c>
      <c r="C12" s="8" t="str">
        <f t="shared" ref="C12" si="2">RIGHT("0000"&amp;B12,5)</f>
        <v>00006</v>
      </c>
      <c r="D12" s="9" t="str">
        <f>IF(AND(EXACT(LEN(TRIM(H12)),0), EXACT(LEN(TRIM(G12)),0)),"",A12&amp;"_"&amp;VLOOKUP(E12,Valores!$D$3:$E$4,2,FALSE)&amp;"_"&amp;VLOOKUP(F12,Valores!$A$3:$B$8,2,FALSE)&amp;"_"&amp;C12)</f>
        <v>Envio_USU_INF_00006</v>
      </c>
      <c r="E12" s="6" t="s">
        <v>8</v>
      </c>
      <c r="F12" s="6" t="s">
        <v>6</v>
      </c>
      <c r="G12" s="51" t="s">
        <v>336</v>
      </c>
      <c r="H12" s="51" t="s">
        <v>337</v>
      </c>
      <c r="I12" s="51" t="s">
        <v>338</v>
      </c>
    </row>
  </sheetData>
  <mergeCells count="1">
    <mergeCell ref="A8:I8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Dato inválido" error="Valor no válido. Sólo los especificados en la lista" xr:uid="{2D0D290F-9C8A-43F1-BD22-9172E5454F94}">
          <x14:formula1>
            <xm:f>Valores!$D$3:$D$4</xm:f>
          </x14:formula1>
          <xm:sqref>E2:E5 E11:E12</xm:sqref>
        </x14:dataValidation>
        <x14:dataValidation type="list" allowBlank="1" showInputMessage="1" showErrorMessage="1" errorTitle="Dato inválido" error="Valor no válido. Sólo los especificados en la lista" xr:uid="{DFF000B1-163D-4559-8206-749D500DE57B}">
          <x14:formula1>
            <xm:f>Valores!$A$3:$A$8</xm:f>
          </x14:formula1>
          <xm:sqref>F2:F5 F11:F12</xm:sqref>
        </x14:dataValidation>
        <x14:dataValidation type="list" allowBlank="1" showInputMessage="1" showErrorMessage="1" xr:uid="{CE35B0BD-17D2-4261-8D20-FBBDDCA0DBF7}">
          <x14:formula1>
            <xm:f>Valores!$G$3:$G$14</xm:f>
          </x14:formula1>
          <xm:sqref>A2:A5 A11:A12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2BAF5-6CCC-425B-81B9-47CEDE72336F}">
  <dimension ref="A1:I19"/>
  <sheetViews>
    <sheetView workbookViewId="0">
      <selection activeCell="B20" sqref="B20"/>
    </sheetView>
  </sheetViews>
  <sheetFormatPr defaultColWidth="9.140625" defaultRowHeight="15"/>
  <cols>
    <col min="1" max="1" width="19.7109375" customWidth="1"/>
    <col min="2" max="2" width="22.5703125" customWidth="1"/>
    <col min="3" max="3" width="24.140625" customWidth="1"/>
    <col min="4" max="4" width="27.85546875" customWidth="1"/>
    <col min="5" max="5" width="21.5703125" customWidth="1"/>
    <col min="6" max="6" width="35.7109375" customWidth="1"/>
    <col min="7" max="7" width="67.42578125" customWidth="1"/>
    <col min="8" max="8" width="110.28515625" bestFit="1" customWidth="1"/>
    <col min="9" max="9" width="90.140625" customWidth="1"/>
    <col min="10" max="10" width="125.5703125" bestFit="1" customWidth="1"/>
    <col min="11" max="11" width="93.85546875" bestFit="1" customWidth="1"/>
  </cols>
  <sheetData>
    <row r="1" spans="1:9">
      <c r="A1" s="5" t="s">
        <v>2</v>
      </c>
      <c r="B1" s="12" t="s">
        <v>54</v>
      </c>
      <c r="C1" s="13" t="s">
        <v>54</v>
      </c>
      <c r="D1" s="45" t="s">
        <v>55</v>
      </c>
      <c r="E1" s="46" t="s">
        <v>56</v>
      </c>
      <c r="F1" s="14" t="s">
        <v>0</v>
      </c>
      <c r="G1" s="14" t="s">
        <v>57</v>
      </c>
      <c r="H1" s="14" t="s">
        <v>58</v>
      </c>
      <c r="I1" s="14" t="s">
        <v>59</v>
      </c>
    </row>
    <row r="2" spans="1:9">
      <c r="A2" s="6" t="s">
        <v>44</v>
      </c>
      <c r="B2" s="48">
        <v>1</v>
      </c>
      <c r="C2" s="8" t="str">
        <f t="shared" ref="C2:C4" si="0">RIGHT("0000"&amp;B2,5)</f>
        <v>00001</v>
      </c>
      <c r="D2" s="9" t="str">
        <f>IF(AND(EXACT(LEN(TRIM(H2)),0), EXACT(LEN(TRIM(G2)),0)),"",A2&amp;"_"&amp;VLOOKUP(E2,Valores!$D$3:$E$4,2,FALSE)&amp;"_"&amp;VLOOKUP(F2,Valores!$A$3:$B$8,2,FALSE)&amp;"_"&amp;C2)</f>
        <v>Producto_USU_EXI_00001</v>
      </c>
      <c r="E2" s="6" t="s">
        <v>8</v>
      </c>
      <c r="F2" s="6" t="s">
        <v>12</v>
      </c>
      <c r="G2" s="51" t="s">
        <v>339</v>
      </c>
      <c r="H2" s="51" t="s">
        <v>340</v>
      </c>
      <c r="I2" s="51" t="s">
        <v>341</v>
      </c>
    </row>
    <row r="3" spans="1:9">
      <c r="A3" s="6" t="s">
        <v>44</v>
      </c>
      <c r="B3" s="48">
        <v>2</v>
      </c>
      <c r="C3" s="8" t="str">
        <f t="shared" si="0"/>
        <v>00002</v>
      </c>
      <c r="D3" s="9" t="str">
        <f>IF(AND(EXACT(LEN(TRIM(H3)),0), EXACT(LEN(TRIM(G3)),0)),"",A3&amp;"_"&amp;VLOOKUP(E3,Valores!$D$3:$E$4,2,FALSE)&amp;"_"&amp;VLOOKUP(F3,Valores!$A$3:$B$8,2,FALSE)&amp;"_"&amp;C3)</f>
        <v>Producto_USU_ERR_00002</v>
      </c>
      <c r="E3" s="6" t="s">
        <v>8</v>
      </c>
      <c r="F3" s="6" t="s">
        <v>26</v>
      </c>
      <c r="G3" s="51" t="s">
        <v>342</v>
      </c>
      <c r="H3" s="51" t="s">
        <v>343</v>
      </c>
      <c r="I3" s="51" t="s">
        <v>341</v>
      </c>
    </row>
    <row r="4" spans="1:9">
      <c r="A4" s="6" t="s">
        <v>44</v>
      </c>
      <c r="B4" s="48">
        <v>3</v>
      </c>
      <c r="C4" s="8" t="str">
        <f t="shared" si="0"/>
        <v>00003</v>
      </c>
      <c r="D4" s="9" t="str">
        <f>IF(AND(EXACT(LEN(TRIM(H4)),0), EXACT(LEN(TRIM(G4)),0)),"",A4&amp;"_"&amp;VLOOKUP(E4,Valores!$D$3:$E$4,2,FALSE)&amp;"_"&amp;VLOOKUP(F4,Valores!$A$3:$B$8,2,FALSE)&amp;"_"&amp;C4)</f>
        <v>Producto_USU_ERR_00003</v>
      </c>
      <c r="E4" s="6" t="s">
        <v>8</v>
      </c>
      <c r="F4" s="6" t="s">
        <v>26</v>
      </c>
      <c r="G4" s="51" t="s">
        <v>79</v>
      </c>
      <c r="H4" s="51" t="s">
        <v>293</v>
      </c>
      <c r="I4" s="51" t="s">
        <v>344</v>
      </c>
    </row>
    <row r="5" spans="1:9">
      <c r="A5" s="6" t="s">
        <v>44</v>
      </c>
      <c r="B5" s="48">
        <v>4</v>
      </c>
      <c r="C5" s="8" t="str">
        <f>RIGHT("0000"&amp;B5,5)</f>
        <v>00004</v>
      </c>
      <c r="D5" s="9" t="str">
        <f>IF(AND(EXACT(LEN(TRIM(H5)),0), EXACT(LEN(TRIM(G5)),0)),"",A5&amp;"_"&amp;VLOOKUP(E5,Valores!$D$3:$E$4,2,FALSE)&amp;"_"&amp;VLOOKUP(F5,Valores!$A$3:$B$8,2,FALSE)&amp;"_"&amp;C5)</f>
        <v>Producto_USU_ERR_00004</v>
      </c>
      <c r="E5" s="6" t="s">
        <v>8</v>
      </c>
      <c r="F5" s="6" t="s">
        <v>26</v>
      </c>
      <c r="G5" s="51" t="s">
        <v>345</v>
      </c>
      <c r="H5" s="51" t="s">
        <v>346</v>
      </c>
      <c r="I5" s="51" t="s">
        <v>347</v>
      </c>
    </row>
    <row r="8" spans="1:9">
      <c r="A8" s="60" t="s">
        <v>348</v>
      </c>
      <c r="B8" s="60"/>
      <c r="C8" s="60"/>
      <c r="D8" s="60"/>
      <c r="E8" s="60"/>
      <c r="F8" s="60"/>
      <c r="G8" s="60"/>
      <c r="H8" s="60"/>
      <c r="I8" s="60"/>
    </row>
    <row r="9" spans="1:9">
      <c r="A9" s="50"/>
      <c r="B9" s="50"/>
      <c r="C9" s="50"/>
      <c r="D9" s="50"/>
      <c r="E9" s="50"/>
      <c r="F9" s="50"/>
      <c r="G9" s="50"/>
      <c r="H9" s="50"/>
      <c r="I9" s="50"/>
    </row>
    <row r="10" spans="1:9">
      <c r="A10" s="5" t="s">
        <v>2</v>
      </c>
      <c r="B10" s="12" t="s">
        <v>54</v>
      </c>
      <c r="C10" s="13" t="s">
        <v>54</v>
      </c>
      <c r="D10" s="45" t="s">
        <v>55</v>
      </c>
      <c r="E10" s="46" t="s">
        <v>56</v>
      </c>
      <c r="F10" s="14" t="s">
        <v>0</v>
      </c>
      <c r="G10" s="14" t="s">
        <v>57</v>
      </c>
      <c r="H10" s="14" t="s">
        <v>58</v>
      </c>
      <c r="I10" s="14" t="s">
        <v>59</v>
      </c>
    </row>
    <row r="11" spans="1:9">
      <c r="A11" s="6" t="s">
        <v>44</v>
      </c>
      <c r="B11" s="48">
        <v>5</v>
      </c>
      <c r="C11" s="8" t="str">
        <f t="shared" ref="C11" si="1">RIGHT("0000"&amp;B11,5)</f>
        <v>00005</v>
      </c>
      <c r="D11" s="9" t="str">
        <f>IF(AND(EXACT(LEN(TRIM(H11)),0), EXACT(LEN(TRIM(G11)),0)),"",A11&amp;"_"&amp;VLOOKUP(E11,Valores!$D$3:$E$4,2,FALSE)&amp;"_"&amp;VLOOKUP(F11,Valores!$A$3:$B$8,2,FALSE)&amp;"_"&amp;C11)</f>
        <v>Producto_USU_EXI_00005</v>
      </c>
      <c r="E11" s="6" t="s">
        <v>8</v>
      </c>
      <c r="F11" s="6" t="s">
        <v>12</v>
      </c>
      <c r="G11" s="51" t="s">
        <v>349</v>
      </c>
      <c r="H11" s="51" t="s">
        <v>350</v>
      </c>
      <c r="I11" s="51" t="s">
        <v>341</v>
      </c>
    </row>
    <row r="12" spans="1:9">
      <c r="A12" s="6" t="s">
        <v>44</v>
      </c>
      <c r="B12" s="48">
        <v>6</v>
      </c>
      <c r="C12" s="8" t="str">
        <f t="shared" ref="C12" si="2">RIGHT("0000"&amp;B12,5)</f>
        <v>00006</v>
      </c>
      <c r="D12" s="9" t="str">
        <f>IF(AND(EXACT(LEN(TRIM(H12)),0), EXACT(LEN(TRIM(G12)),0)),"",A12&amp;"_"&amp;VLOOKUP(E12,Valores!$D$3:$E$4,2,FALSE)&amp;"_"&amp;VLOOKUP(F12,Valores!$A$3:$B$8,2,FALSE)&amp;"_"&amp;C12)</f>
        <v>Producto_USU_ERR_00006</v>
      </c>
      <c r="E12" s="6" t="s">
        <v>8</v>
      </c>
      <c r="F12" s="6" t="s">
        <v>26</v>
      </c>
      <c r="G12" s="51" t="s">
        <v>201</v>
      </c>
      <c r="H12" s="51" t="s">
        <v>172</v>
      </c>
      <c r="I12" s="51" t="s">
        <v>351</v>
      </c>
    </row>
    <row r="15" spans="1:9">
      <c r="A15" s="60" t="s">
        <v>352</v>
      </c>
      <c r="B15" s="60"/>
      <c r="C15" s="60"/>
      <c r="D15" s="60"/>
      <c r="E15" s="60"/>
      <c r="F15" s="60"/>
      <c r="G15" s="60"/>
      <c r="H15" s="60"/>
      <c r="I15" s="60"/>
    </row>
    <row r="16" spans="1:9">
      <c r="A16" s="50"/>
      <c r="B16" s="50"/>
      <c r="C16" s="50"/>
      <c r="D16" s="50"/>
      <c r="E16" s="50"/>
      <c r="F16" s="50"/>
      <c r="G16" s="50"/>
      <c r="H16" s="50"/>
      <c r="I16" s="50"/>
    </row>
    <row r="17" spans="1:9">
      <c r="A17" s="5" t="s">
        <v>2</v>
      </c>
      <c r="B17" s="12" t="s">
        <v>54</v>
      </c>
      <c r="C17" s="13" t="s">
        <v>54</v>
      </c>
      <c r="D17" s="45" t="s">
        <v>55</v>
      </c>
      <c r="E17" s="46" t="s">
        <v>56</v>
      </c>
      <c r="F17" s="14" t="s">
        <v>0</v>
      </c>
      <c r="G17" s="14" t="s">
        <v>57</v>
      </c>
      <c r="H17" s="14" t="s">
        <v>58</v>
      </c>
      <c r="I17" s="14" t="s">
        <v>59</v>
      </c>
    </row>
    <row r="18" spans="1:9">
      <c r="A18" s="6" t="s">
        <v>44</v>
      </c>
      <c r="B18" s="48">
        <v>7</v>
      </c>
      <c r="C18" s="8" t="str">
        <f>RIGHT("0000"&amp;B18,5)</f>
        <v>00007</v>
      </c>
      <c r="D18" s="9" t="str">
        <f>IF(AND(EXACT(LEN(TRIM(H18)),0), EXACT(LEN(TRIM(G18)),0)),"",A18&amp;"_"&amp;VLOOKUP(E18,Valores!$D$3:$E$4,2,FALSE)&amp;"_"&amp;VLOOKUP(F18,Valores!$A$3:$B$8,2,FALSE)&amp;"_"&amp;C18)</f>
        <v>Producto_USU_EXI_00007</v>
      </c>
      <c r="E18" s="6" t="s">
        <v>8</v>
      </c>
      <c r="F18" s="6" t="s">
        <v>12</v>
      </c>
      <c r="G18" s="51" t="s">
        <v>353</v>
      </c>
      <c r="H18" s="51" t="s">
        <v>354</v>
      </c>
      <c r="I18" s="51" t="s">
        <v>355</v>
      </c>
    </row>
    <row r="19" spans="1:9" ht="30">
      <c r="A19" s="6" t="s">
        <v>44</v>
      </c>
      <c r="B19" s="48">
        <v>8</v>
      </c>
      <c r="C19" s="8" t="str">
        <f>RIGHT("0000"&amp;B19,5)</f>
        <v>00008</v>
      </c>
      <c r="D19" s="9" t="str">
        <f>IF(AND(EXACT(LEN(TRIM(H19)),0), EXACT(LEN(TRIM(G19)),0)),"",A19&amp;"_"&amp;VLOOKUP(E19,Valores!$D$3:$E$4,2,FALSE)&amp;"_"&amp;VLOOKUP(F19,Valores!$A$3:$B$8,2,FALSE)&amp;"_"&amp;C19)</f>
        <v>Producto_USU_ADV_00008</v>
      </c>
      <c r="E19" s="6" t="s">
        <v>8</v>
      </c>
      <c r="F19" s="6" t="s">
        <v>18</v>
      </c>
      <c r="G19" s="51" t="s">
        <v>356</v>
      </c>
      <c r="H19" s="51" t="s">
        <v>357</v>
      </c>
      <c r="I19" s="51" t="s">
        <v>154</v>
      </c>
    </row>
  </sheetData>
  <mergeCells count="2">
    <mergeCell ref="A8:I8"/>
    <mergeCell ref="A15:I15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5F24175-F785-493C-9416-52A605A80159}">
          <x14:formula1>
            <xm:f>Valores!$G$3:$G$14</xm:f>
          </x14:formula1>
          <xm:sqref>A2:A5 A18:A19 A11:A12</xm:sqref>
        </x14:dataValidation>
        <x14:dataValidation type="list" allowBlank="1" showInputMessage="1" showErrorMessage="1" errorTitle="Dato inválido" error="Valor no válido. Sólo los especificados en la lista" xr:uid="{678A0605-A115-402F-83F6-B3EB86D0CA59}">
          <x14:formula1>
            <xm:f>Valores!$A$3:$A$8</xm:f>
          </x14:formula1>
          <xm:sqref>F2:F5 F18:F19 F11:F12</xm:sqref>
        </x14:dataValidation>
        <x14:dataValidation type="list" allowBlank="1" showInputMessage="1" showErrorMessage="1" errorTitle="Dato inválido" error="Valor no válido. Sólo los especificados en la lista" xr:uid="{E04C220D-7C88-42CB-9F34-956A36F5D8F1}">
          <x14:formula1>
            <xm:f>Valores!$D$3:$D$4</xm:f>
          </x14:formula1>
          <xm:sqref>E2:E5 E18:E19 E11:E12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3787-D461-4E75-AFB2-D3055C3BBDDB}">
  <dimension ref="A1:I19"/>
  <sheetViews>
    <sheetView tabSelected="1" topLeftCell="E1" workbookViewId="0">
      <selection activeCell="H2" sqref="H2"/>
    </sheetView>
  </sheetViews>
  <sheetFormatPr defaultColWidth="9.140625" defaultRowHeight="15"/>
  <cols>
    <col min="1" max="1" width="19.7109375" customWidth="1"/>
    <col min="2" max="2" width="22.5703125" customWidth="1"/>
    <col min="3" max="3" width="24.140625" customWidth="1"/>
    <col min="4" max="4" width="27.85546875" customWidth="1"/>
    <col min="5" max="5" width="21.5703125" customWidth="1"/>
    <col min="6" max="6" width="35.7109375" customWidth="1"/>
    <col min="7" max="7" width="67.42578125" customWidth="1"/>
    <col min="8" max="8" width="110.28515625" bestFit="1" customWidth="1"/>
    <col min="9" max="9" width="90.140625" customWidth="1"/>
    <col min="10" max="10" width="125.5703125" bestFit="1" customWidth="1"/>
    <col min="11" max="11" width="93.85546875" bestFit="1" customWidth="1"/>
  </cols>
  <sheetData>
    <row r="1" spans="1:9">
      <c r="A1" s="5" t="s">
        <v>2</v>
      </c>
      <c r="B1" s="12" t="s">
        <v>54</v>
      </c>
      <c r="C1" s="13" t="s">
        <v>54</v>
      </c>
      <c r="D1" s="45" t="s">
        <v>55</v>
      </c>
      <c r="E1" s="46" t="s">
        <v>56</v>
      </c>
      <c r="F1" s="14" t="s">
        <v>0</v>
      </c>
      <c r="G1" s="14" t="s">
        <v>57</v>
      </c>
      <c r="H1" s="14" t="s">
        <v>58</v>
      </c>
      <c r="I1" s="14" t="s">
        <v>59</v>
      </c>
    </row>
    <row r="2" spans="1:9" ht="30.75">
      <c r="A2" s="6" t="s">
        <v>46</v>
      </c>
      <c r="B2" s="48">
        <v>1</v>
      </c>
      <c r="C2" s="8" t="str">
        <f t="shared" ref="C2:C4" si="0">RIGHT("0000"&amp;B2,5)</f>
        <v>00001</v>
      </c>
      <c r="D2" s="9" t="str">
        <f>IF(AND(EXACT(LEN(TRIM(H2)),0), EXACT(LEN(TRIM(G2)),0)),"",A2&amp;"_"&amp;VLOOKUP(E2,Valores!$D$3:$E$4,2,FALSE)&amp;"_"&amp;VLOOKUP(F2,Valores!$A$3:$B$8,2,FALSE)&amp;"_"&amp;C2)</f>
        <v>Produccion_USU_EXI_00001</v>
      </c>
      <c r="E2" s="6" t="s">
        <v>8</v>
      </c>
      <c r="F2" s="6" t="s">
        <v>12</v>
      </c>
      <c r="G2" s="51" t="s">
        <v>358</v>
      </c>
      <c r="H2" s="51" t="s">
        <v>359</v>
      </c>
      <c r="I2" s="51" t="s">
        <v>360</v>
      </c>
    </row>
    <row r="3" spans="1:9">
      <c r="A3" s="6" t="s">
        <v>46</v>
      </c>
      <c r="B3" s="48">
        <v>2</v>
      </c>
      <c r="C3" s="8" t="str">
        <f t="shared" si="0"/>
        <v>00002</v>
      </c>
      <c r="D3" s="9" t="str">
        <f>IF(AND(EXACT(LEN(TRIM(H3)),0), EXACT(LEN(TRIM(G3)),0)),"",A3&amp;"_"&amp;VLOOKUP(E3,Valores!$D$3:$E$4,2,FALSE)&amp;"_"&amp;VLOOKUP(F3,Valores!$A$3:$B$8,2,FALSE)&amp;"_"&amp;C3)</f>
        <v>Produccion_USU_ERR_00002</v>
      </c>
      <c r="E3" s="6" t="s">
        <v>8</v>
      </c>
      <c r="F3" s="6" t="s">
        <v>26</v>
      </c>
      <c r="G3" s="51" t="s">
        <v>361</v>
      </c>
      <c r="H3" s="51" t="s">
        <v>362</v>
      </c>
      <c r="I3" s="51" t="s">
        <v>363</v>
      </c>
    </row>
    <row r="4" spans="1:9">
      <c r="A4" s="6" t="s">
        <v>46</v>
      </c>
      <c r="B4" s="48">
        <v>3</v>
      </c>
      <c r="C4" s="8" t="str">
        <f t="shared" si="0"/>
        <v>00003</v>
      </c>
      <c r="D4" s="9" t="str">
        <f>IF(AND(EXACT(LEN(TRIM(H4)),0), EXACT(LEN(TRIM(G4)),0)),"",A4&amp;"_"&amp;VLOOKUP(E4,Valores!$D$3:$E$4,2,FALSE)&amp;"_"&amp;VLOOKUP(F4,Valores!$A$3:$B$8,2,FALSE)&amp;"_"&amp;C4)</f>
        <v>Produccion_USU_ERR_00003</v>
      </c>
      <c r="E4" s="6" t="s">
        <v>8</v>
      </c>
      <c r="F4" s="6" t="s">
        <v>26</v>
      </c>
      <c r="G4" s="51" t="s">
        <v>201</v>
      </c>
      <c r="H4" s="51" t="s">
        <v>172</v>
      </c>
      <c r="I4" s="51" t="s">
        <v>364</v>
      </c>
    </row>
    <row r="5" spans="1:9">
      <c r="A5" s="6" t="s">
        <v>46</v>
      </c>
      <c r="B5" s="48">
        <v>4</v>
      </c>
      <c r="C5" s="8" t="str">
        <f>RIGHT("0000"&amp;B5,5)</f>
        <v>00004</v>
      </c>
      <c r="D5" s="9" t="str">
        <f>IF(AND(EXACT(LEN(TRIM(H5)),0), EXACT(LEN(TRIM(G5)),0)),"",A5&amp;"_"&amp;VLOOKUP(E5,Valores!$D$3:$E$4,2,FALSE)&amp;"_"&amp;VLOOKUP(F5,Valores!$A$3:$B$8,2,FALSE)&amp;"_"&amp;C5)</f>
        <v>Produccion_USU_ERR_00004</v>
      </c>
      <c r="E5" s="6" t="s">
        <v>8</v>
      </c>
      <c r="F5" s="6" t="s">
        <v>26</v>
      </c>
      <c r="G5" s="51" t="s">
        <v>365</v>
      </c>
      <c r="H5" s="51" t="s">
        <v>366</v>
      </c>
      <c r="I5" s="51" t="s">
        <v>220</v>
      </c>
    </row>
    <row r="6" spans="1:9" ht="30">
      <c r="A6" s="6" t="s">
        <v>46</v>
      </c>
      <c r="B6" s="48">
        <v>5</v>
      </c>
      <c r="C6" s="8" t="str">
        <f>RIGHT("0000"&amp;B6,5)</f>
        <v>00005</v>
      </c>
      <c r="D6" s="9" t="str">
        <f>IF(AND(EXACT(LEN(TRIM(H6)),0), EXACT(LEN(TRIM(G6)),0)),"",A6&amp;"_"&amp;VLOOKUP(E6,Valores!$D$3:$E$4,2,FALSE)&amp;"_"&amp;VLOOKUP(F6,Valores!$A$3:$B$8,2,FALSE)&amp;"_"&amp;C6)</f>
        <v>Produccion_USU_ERR_00005</v>
      </c>
      <c r="E6" s="6" t="s">
        <v>8</v>
      </c>
      <c r="F6" s="6" t="s">
        <v>26</v>
      </c>
      <c r="G6" s="51" t="s">
        <v>367</v>
      </c>
      <c r="H6" s="51" t="s">
        <v>368</v>
      </c>
      <c r="I6" s="51" t="s">
        <v>369</v>
      </c>
    </row>
    <row r="8" spans="1:9">
      <c r="A8" s="60" t="s">
        <v>370</v>
      </c>
      <c r="B8" s="60"/>
      <c r="C8" s="60"/>
      <c r="D8" s="60"/>
      <c r="E8" s="60"/>
      <c r="F8" s="60"/>
      <c r="G8" s="60"/>
      <c r="H8" s="60"/>
      <c r="I8" s="60"/>
    </row>
    <row r="9" spans="1:9">
      <c r="A9" s="50"/>
      <c r="B9" s="50"/>
      <c r="C9" s="50"/>
      <c r="D9" s="50"/>
      <c r="E9" s="50"/>
      <c r="F9" s="50"/>
      <c r="G9" s="50"/>
      <c r="H9" s="50"/>
      <c r="I9" s="50"/>
    </row>
    <row r="10" spans="1:9">
      <c r="A10" s="5" t="s">
        <v>2</v>
      </c>
      <c r="B10" s="12" t="s">
        <v>54</v>
      </c>
      <c r="C10" s="13" t="s">
        <v>54</v>
      </c>
      <c r="D10" s="45" t="s">
        <v>55</v>
      </c>
      <c r="E10" s="46" t="s">
        <v>56</v>
      </c>
      <c r="F10" s="14" t="s">
        <v>0</v>
      </c>
      <c r="G10" s="14" t="s">
        <v>57</v>
      </c>
      <c r="H10" s="14" t="s">
        <v>58</v>
      </c>
      <c r="I10" s="14" t="s">
        <v>59</v>
      </c>
    </row>
    <row r="11" spans="1:9" ht="30">
      <c r="A11" s="6" t="s">
        <v>46</v>
      </c>
      <c r="B11" s="48">
        <v>6</v>
      </c>
      <c r="C11" s="8" t="str">
        <f t="shared" ref="C11:C13" si="1">RIGHT("0000"&amp;B11,5)</f>
        <v>00006</v>
      </c>
      <c r="D11" s="9" t="str">
        <f>IF(AND(EXACT(LEN(TRIM(H11)),0), EXACT(LEN(TRIM(G11)),0)),"",A11&amp;"_"&amp;VLOOKUP(E11,Valores!$D$3:$E$4,2,FALSE)&amp;"_"&amp;VLOOKUP(F11,Valores!$A$3:$B$8,2,FALSE)&amp;"_"&amp;C11)</f>
        <v>Produccion_USU_EXI_00006</v>
      </c>
      <c r="E11" s="6" t="s">
        <v>8</v>
      </c>
      <c r="F11" s="6" t="s">
        <v>12</v>
      </c>
      <c r="G11" s="51" t="s">
        <v>371</v>
      </c>
      <c r="H11" s="51" t="s">
        <v>372</v>
      </c>
      <c r="I11" s="51" t="s">
        <v>373</v>
      </c>
    </row>
    <row r="12" spans="1:9" ht="30">
      <c r="A12" s="6" t="s">
        <v>46</v>
      </c>
      <c r="B12" s="48">
        <v>7</v>
      </c>
      <c r="C12" s="8" t="str">
        <f t="shared" si="1"/>
        <v>00007</v>
      </c>
      <c r="D12" s="9" t="str">
        <f>IF(AND(EXACT(LEN(TRIM(H12)),0), EXACT(LEN(TRIM(G12)),0)),"",A12&amp;"_"&amp;VLOOKUP(E12,Valores!$D$3:$E$4,2,FALSE)&amp;"_"&amp;VLOOKUP(F12,Valores!$A$3:$B$8,2,FALSE)&amp;"_"&amp;C12)</f>
        <v>Produccion_USU_ERR_00007</v>
      </c>
      <c r="E12" s="6" t="s">
        <v>8</v>
      </c>
      <c r="F12" s="6" t="s">
        <v>26</v>
      </c>
      <c r="G12" s="51" t="s">
        <v>374</v>
      </c>
      <c r="H12" s="51" t="s">
        <v>375</v>
      </c>
      <c r="I12" s="51" t="s">
        <v>376</v>
      </c>
    </row>
    <row r="13" spans="1:9">
      <c r="A13" s="6" t="s">
        <v>46</v>
      </c>
      <c r="B13" s="48">
        <v>8</v>
      </c>
      <c r="C13" s="8" t="str">
        <f t="shared" si="1"/>
        <v>00008</v>
      </c>
      <c r="D13" s="9" t="str">
        <f>IF(AND(EXACT(LEN(TRIM(H13)),0), EXACT(LEN(TRIM(G13)),0)),"",A13&amp;"_"&amp;VLOOKUP(E13,Valores!$D$3:$E$4,2,FALSE)&amp;"_"&amp;VLOOKUP(F13,Valores!$A$3:$B$8,2,FALSE)&amp;"_"&amp;C13)</f>
        <v>Produccion_USU_INF_00008</v>
      </c>
      <c r="E13" s="6" t="s">
        <v>8</v>
      </c>
      <c r="F13" s="6" t="s">
        <v>6</v>
      </c>
      <c r="G13" s="51" t="s">
        <v>377</v>
      </c>
      <c r="H13" s="51" t="s">
        <v>378</v>
      </c>
      <c r="I13" s="51" t="s">
        <v>379</v>
      </c>
    </row>
    <row r="14" spans="1:9" ht="30">
      <c r="A14" s="6" t="s">
        <v>46</v>
      </c>
      <c r="B14" s="48">
        <v>9</v>
      </c>
      <c r="C14" s="8" t="str">
        <f t="shared" ref="C14" si="2">RIGHT("0000"&amp;B14,5)</f>
        <v>00009</v>
      </c>
      <c r="D14" s="9" t="str">
        <f>IF(AND(EXACT(LEN(TRIM(H14)),0), EXACT(LEN(TRIM(G14)),0)),"",A14&amp;"_"&amp;VLOOKUP(E14,Valores!$D$3:$E$4,2,FALSE)&amp;"_"&amp;VLOOKUP(F14,Valores!$A$3:$B$8,2,FALSE)&amp;"_"&amp;C14)</f>
        <v>Produccion_USU_ERR_00009</v>
      </c>
      <c r="E14" s="6" t="s">
        <v>8</v>
      </c>
      <c r="F14" s="6" t="s">
        <v>26</v>
      </c>
      <c r="G14" s="51" t="s">
        <v>380</v>
      </c>
      <c r="H14" s="51" t="s">
        <v>381</v>
      </c>
      <c r="I14" s="51" t="s">
        <v>382</v>
      </c>
    </row>
    <row r="16" spans="1:9">
      <c r="A16" s="60" t="s">
        <v>383</v>
      </c>
      <c r="B16" s="60"/>
      <c r="C16" s="60"/>
      <c r="D16" s="60"/>
      <c r="E16" s="60"/>
      <c r="F16" s="60"/>
      <c r="G16" s="60"/>
      <c r="H16" s="60"/>
      <c r="I16" s="60"/>
    </row>
    <row r="17" spans="1:9">
      <c r="A17" s="50"/>
      <c r="B17" s="50"/>
      <c r="C17" s="50"/>
      <c r="D17" s="50"/>
      <c r="E17" s="50"/>
      <c r="F17" s="50"/>
      <c r="G17" s="50"/>
      <c r="H17" s="50"/>
      <c r="I17" s="50"/>
    </row>
    <row r="18" spans="1:9">
      <c r="A18" s="5" t="s">
        <v>2</v>
      </c>
      <c r="B18" s="12" t="s">
        <v>54</v>
      </c>
      <c r="C18" s="13" t="s">
        <v>54</v>
      </c>
      <c r="D18" s="45" t="s">
        <v>55</v>
      </c>
      <c r="E18" s="46" t="s">
        <v>56</v>
      </c>
      <c r="F18" s="14" t="s">
        <v>0</v>
      </c>
      <c r="G18" s="14" t="s">
        <v>57</v>
      </c>
      <c r="H18" s="14" t="s">
        <v>58</v>
      </c>
      <c r="I18" s="14" t="s">
        <v>59</v>
      </c>
    </row>
    <row r="19" spans="1:9" ht="30">
      <c r="A19" s="6" t="s">
        <v>46</v>
      </c>
      <c r="B19" s="48">
        <v>10</v>
      </c>
      <c r="C19" s="8" t="str">
        <f t="shared" ref="C19" si="3">RIGHT("0000"&amp;B19,5)</f>
        <v>00010</v>
      </c>
      <c r="D19" s="9" t="str">
        <f>IF(AND(EXACT(LEN(TRIM(H19)),0), EXACT(LEN(TRIM(G19)),0)),"",A19&amp;"_"&amp;VLOOKUP(E19,Valores!$D$3:$E$4,2,FALSE)&amp;"_"&amp;VLOOKUP(F19,Valores!$A$3:$B$8,2,FALSE)&amp;"_"&amp;C19)</f>
        <v>Produccion_USU_EXI_00010</v>
      </c>
      <c r="E19" s="6" t="s">
        <v>8</v>
      </c>
      <c r="F19" s="6" t="s">
        <v>12</v>
      </c>
      <c r="G19" s="51" t="s">
        <v>384</v>
      </c>
      <c r="H19" s="51" t="s">
        <v>385</v>
      </c>
      <c r="I19" s="51" t="s">
        <v>386</v>
      </c>
    </row>
  </sheetData>
  <mergeCells count="2">
    <mergeCell ref="A8:I8"/>
    <mergeCell ref="A16:I16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Dato inválido" error="Valor no válido. Sólo los especificados en la lista" xr:uid="{35431C6C-5B07-4D3D-8CAD-4348F3B4A313}">
          <x14:formula1>
            <xm:f>Valores!$D$3:$D$4</xm:f>
          </x14:formula1>
          <xm:sqref>E2:E6 E11:E14 E19</xm:sqref>
        </x14:dataValidation>
        <x14:dataValidation type="list" allowBlank="1" showInputMessage="1" showErrorMessage="1" errorTitle="Dato inválido" error="Valor no válido. Sólo los especificados en la lista" xr:uid="{2C3AB0DE-FBFC-44E6-BBDA-0E8C9E8BC185}">
          <x14:formula1>
            <xm:f>Valores!$A$3:$A$8</xm:f>
          </x14:formula1>
          <xm:sqref>F11:F14 F2:F6 F19</xm:sqref>
        </x14:dataValidation>
        <x14:dataValidation type="list" allowBlank="1" showInputMessage="1" showErrorMessage="1" xr:uid="{8ACA6B5B-A667-4863-9B8D-371CDB27AE20}">
          <x14:formula1>
            <xm:f>Valores!$G$3:$G$17</xm:f>
          </x14:formula1>
          <xm:sqref>A2:A6 A11:A14 A19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315E-B782-49D0-9933-6168BBCF779F}">
  <dimension ref="A1:I25"/>
  <sheetViews>
    <sheetView workbookViewId="0">
      <selection activeCell="D25" sqref="D25"/>
    </sheetView>
  </sheetViews>
  <sheetFormatPr defaultColWidth="9.140625" defaultRowHeight="15"/>
  <cols>
    <col min="1" max="1" width="19.7109375" customWidth="1"/>
    <col min="2" max="2" width="22.5703125" customWidth="1"/>
    <col min="3" max="3" width="24.140625" customWidth="1"/>
    <col min="4" max="4" width="27.85546875" customWidth="1"/>
    <col min="5" max="5" width="21.5703125" customWidth="1"/>
    <col min="6" max="6" width="35.7109375" customWidth="1"/>
    <col min="7" max="7" width="67.42578125" customWidth="1"/>
    <col min="8" max="8" width="110.28515625" bestFit="1" customWidth="1"/>
    <col min="9" max="9" width="90.140625" customWidth="1"/>
    <col min="10" max="10" width="125.5703125" bestFit="1" customWidth="1"/>
    <col min="11" max="11" width="93.85546875" bestFit="1" customWidth="1"/>
  </cols>
  <sheetData>
    <row r="1" spans="1:9">
      <c r="A1" s="5" t="s">
        <v>2</v>
      </c>
      <c r="B1" s="12" t="s">
        <v>54</v>
      </c>
      <c r="C1" s="13" t="s">
        <v>54</v>
      </c>
      <c r="D1" s="45" t="s">
        <v>55</v>
      </c>
      <c r="E1" s="46" t="s">
        <v>56</v>
      </c>
      <c r="F1" s="14" t="s">
        <v>0</v>
      </c>
      <c r="G1" s="14" t="s">
        <v>57</v>
      </c>
      <c r="H1" s="14" t="s">
        <v>58</v>
      </c>
      <c r="I1" s="14" t="s">
        <v>59</v>
      </c>
    </row>
    <row r="2" spans="1:9" ht="30">
      <c r="A2" s="6" t="s">
        <v>48</v>
      </c>
      <c r="B2" s="48">
        <v>1</v>
      </c>
      <c r="C2" s="8" t="str">
        <f t="shared" ref="C2:C4" si="0">RIGHT("0000"&amp;B2,5)</f>
        <v>00001</v>
      </c>
      <c r="D2" s="9" t="str">
        <f>IF(AND(EXACT(LEN(TRIM(H2)),0), EXACT(LEN(TRIM(G2)),0)),"",A2&amp;"_"&amp;VLOOKUP(E2,Valores!$D$3:$E$4,2,FALSE)&amp;"_"&amp;VLOOKUP(F2,Valores!$A$3:$B$8,2,FALSE)&amp;"_"&amp;C2)</f>
        <v>Proveedor_USU_EXI_00001</v>
      </c>
      <c r="E2" s="6" t="s">
        <v>8</v>
      </c>
      <c r="F2" s="6" t="s">
        <v>12</v>
      </c>
      <c r="G2" s="51" t="s">
        <v>387</v>
      </c>
      <c r="H2" s="51" t="s">
        <v>388</v>
      </c>
      <c r="I2" s="51" t="s">
        <v>389</v>
      </c>
    </row>
    <row r="3" spans="1:9">
      <c r="A3" s="6" t="s">
        <v>48</v>
      </c>
      <c r="B3" s="48">
        <v>2</v>
      </c>
      <c r="C3" s="8" t="str">
        <f t="shared" si="0"/>
        <v>00002</v>
      </c>
      <c r="D3" s="9" t="str">
        <f>IF(AND(EXACT(LEN(TRIM(H3)),0), EXACT(LEN(TRIM(G3)),0)),"",A3&amp;"_"&amp;VLOOKUP(E3,Valores!$D$3:$E$4,2,FALSE)&amp;"_"&amp;VLOOKUP(F3,Valores!$A$3:$B$8,2,FALSE)&amp;"_"&amp;C3)</f>
        <v>Proveedor_USU_ERR_00002</v>
      </c>
      <c r="E3" s="6" t="s">
        <v>8</v>
      </c>
      <c r="F3" s="6" t="s">
        <v>26</v>
      </c>
      <c r="G3" s="51" t="s">
        <v>390</v>
      </c>
      <c r="H3" s="54" t="s">
        <v>391</v>
      </c>
      <c r="I3" s="51" t="s">
        <v>392</v>
      </c>
    </row>
    <row r="4" spans="1:9">
      <c r="A4" s="6" t="s">
        <v>48</v>
      </c>
      <c r="B4" s="48">
        <v>3</v>
      </c>
      <c r="C4" s="8" t="str">
        <f t="shared" si="0"/>
        <v>00003</v>
      </c>
      <c r="D4" s="9" t="str">
        <f>IF(AND(EXACT(LEN(TRIM(H4)),0), EXACT(LEN(TRIM(G4)),0)),"",A4&amp;"_"&amp;VLOOKUP(E4,Valores!$D$3:$E$4,2,FALSE)&amp;"_"&amp;VLOOKUP(F4,Valores!$A$3:$B$8,2,FALSE)&amp;"_"&amp;C4)</f>
        <v>Proveedor_USU_ERR_00003</v>
      </c>
      <c r="E4" s="6" t="s">
        <v>8</v>
      </c>
      <c r="F4" s="6" t="s">
        <v>26</v>
      </c>
      <c r="G4" s="51" t="s">
        <v>393</v>
      </c>
      <c r="H4" s="54" t="s">
        <v>394</v>
      </c>
      <c r="I4" s="51" t="s">
        <v>154</v>
      </c>
    </row>
    <row r="5" spans="1:9">
      <c r="A5" s="6" t="s">
        <v>48</v>
      </c>
      <c r="B5" s="48">
        <v>4</v>
      </c>
      <c r="C5" s="8" t="str">
        <f>RIGHT("0000"&amp;B5,5)</f>
        <v>00004</v>
      </c>
      <c r="D5" s="9" t="str">
        <f>IF(AND(EXACT(LEN(TRIM(H5)),0), EXACT(LEN(TRIM(G5)),0)),"",A5&amp;"_"&amp;VLOOKUP(E5,Valores!$D$3:$E$4,2,FALSE)&amp;"_"&amp;VLOOKUP(F5,Valores!$A$3:$B$8,2,FALSE)&amp;"_"&amp;C5)</f>
        <v>Proveedor_USU_ERR_00004</v>
      </c>
      <c r="E5" s="6" t="s">
        <v>8</v>
      </c>
      <c r="F5" s="6" t="s">
        <v>26</v>
      </c>
      <c r="G5" s="51" t="s">
        <v>395</v>
      </c>
      <c r="H5" s="51" t="s">
        <v>396</v>
      </c>
      <c r="I5" s="51" t="s">
        <v>154</v>
      </c>
    </row>
    <row r="6" spans="1:9">
      <c r="A6" s="6" t="s">
        <v>48</v>
      </c>
      <c r="B6" s="48">
        <v>5</v>
      </c>
      <c r="C6" s="8" t="str">
        <f>RIGHT("0000"&amp;B6,5)</f>
        <v>00005</v>
      </c>
      <c r="D6" s="9" t="str">
        <f>IF(AND(EXACT(LEN(TRIM(H6)),0), EXACT(LEN(TRIM(G6)),0)),"",A6&amp;"_"&amp;VLOOKUP(E6,Valores!$D$3:$E$4,2,FALSE)&amp;"_"&amp;VLOOKUP(F6,Valores!$A$3:$B$8,2,FALSE)&amp;"_"&amp;C6)</f>
        <v>Proveedor_USU_ERR_00005</v>
      </c>
      <c r="E6" s="6" t="s">
        <v>8</v>
      </c>
      <c r="F6" s="6" t="s">
        <v>26</v>
      </c>
      <c r="G6" s="51" t="s">
        <v>98</v>
      </c>
      <c r="H6" s="51" t="s">
        <v>397</v>
      </c>
      <c r="I6" s="51" t="s">
        <v>100</v>
      </c>
    </row>
    <row r="7" spans="1:9">
      <c r="A7" s="6" t="s">
        <v>48</v>
      </c>
      <c r="B7" s="48">
        <v>6</v>
      </c>
      <c r="C7" s="8" t="str">
        <f>RIGHT("0000"&amp;B7,5)</f>
        <v>00006</v>
      </c>
      <c r="D7" s="9" t="str">
        <f>IF(AND(EXACT(LEN(TRIM(H7)),0), EXACT(LEN(TRIM(G7)),0)),"",A7&amp;"_"&amp;VLOOKUP(E7,Valores!$D$3:$E$4,2,FALSE)&amp;"_"&amp;VLOOKUP(F7,Valores!$A$3:$B$8,2,FALSE)&amp;"_"&amp;C7)</f>
        <v>Proveedor_USU_ERR_00006</v>
      </c>
      <c r="E7" s="6" t="s">
        <v>8</v>
      </c>
      <c r="F7" s="6" t="s">
        <v>26</v>
      </c>
      <c r="G7" s="51" t="s">
        <v>398</v>
      </c>
      <c r="H7" s="51" t="s">
        <v>399</v>
      </c>
      <c r="I7" s="51" t="s">
        <v>200</v>
      </c>
    </row>
    <row r="8" spans="1:9">
      <c r="A8" s="6" t="s">
        <v>48</v>
      </c>
      <c r="B8" s="48">
        <v>7</v>
      </c>
      <c r="C8" s="8" t="str">
        <f>RIGHT("0000"&amp;B8,5)</f>
        <v>00007</v>
      </c>
      <c r="D8" s="9" t="str">
        <f>IF(AND(EXACT(LEN(TRIM(H8)),0), EXACT(LEN(TRIM(G8)),0)),"",A8&amp;"_"&amp;VLOOKUP(E8,Valores!$D$3:$E$4,2,FALSE)&amp;"_"&amp;VLOOKUP(F8,Valores!$A$3:$B$8,2,FALSE)&amp;"_"&amp;C8)</f>
        <v>Proveedor_USU_ERR_00007</v>
      </c>
      <c r="E8" s="6" t="s">
        <v>8</v>
      </c>
      <c r="F8" s="6" t="s">
        <v>26</v>
      </c>
      <c r="G8" s="51" t="s">
        <v>400</v>
      </c>
      <c r="H8" s="51" t="s">
        <v>401</v>
      </c>
      <c r="I8" s="51" t="s">
        <v>402</v>
      </c>
    </row>
    <row r="9" spans="1:9">
      <c r="G9" s="51"/>
      <c r="H9" s="51"/>
      <c r="I9" s="51"/>
    </row>
    <row r="10" spans="1:9">
      <c r="A10" s="60" t="s">
        <v>403</v>
      </c>
      <c r="B10" s="60"/>
      <c r="C10" s="60"/>
      <c r="D10" s="60"/>
      <c r="E10" s="60"/>
      <c r="F10" s="60"/>
      <c r="G10" s="60"/>
      <c r="H10" s="60"/>
      <c r="I10" s="60"/>
    </row>
    <row r="11" spans="1:9">
      <c r="A11" s="50"/>
      <c r="B11" s="50"/>
      <c r="C11" s="50"/>
      <c r="D11" s="50"/>
      <c r="E11" s="50"/>
      <c r="F11" s="50"/>
      <c r="G11" s="50"/>
      <c r="H11" s="50"/>
      <c r="I11" s="50"/>
    </row>
    <row r="12" spans="1:9">
      <c r="A12" s="5" t="s">
        <v>2</v>
      </c>
      <c r="B12" s="12" t="s">
        <v>54</v>
      </c>
      <c r="C12" s="13" t="s">
        <v>54</v>
      </c>
      <c r="D12" s="45" t="s">
        <v>55</v>
      </c>
      <c r="E12" s="46" t="s">
        <v>56</v>
      </c>
      <c r="F12" s="14" t="s">
        <v>0</v>
      </c>
      <c r="G12" s="14" t="s">
        <v>57</v>
      </c>
      <c r="H12" s="14" t="s">
        <v>58</v>
      </c>
      <c r="I12" s="14" t="s">
        <v>59</v>
      </c>
    </row>
    <row r="13" spans="1:9">
      <c r="A13" s="6" t="s">
        <v>48</v>
      </c>
      <c r="B13" s="48">
        <v>8</v>
      </c>
      <c r="C13" s="8" t="str">
        <f t="shared" ref="C13:C15" si="1">RIGHT("0000"&amp;B13,5)</f>
        <v>00008</v>
      </c>
      <c r="D13" s="9" t="str">
        <f>IF(AND(EXACT(LEN(TRIM(H13)),0), EXACT(LEN(TRIM(G13)),0)),"",A13&amp;"_"&amp;VLOOKUP(E13,Valores!$D$3:$E$4,2,FALSE)&amp;"_"&amp;VLOOKUP(F13,Valores!$A$3:$B$8,2,FALSE)&amp;"_"&amp;C13)</f>
        <v>Proveedor_USU_EXI_00008</v>
      </c>
      <c r="E13" s="6" t="s">
        <v>8</v>
      </c>
      <c r="F13" s="6" t="s">
        <v>12</v>
      </c>
      <c r="G13" s="51" t="s">
        <v>404</v>
      </c>
      <c r="H13" s="51" t="s">
        <v>405</v>
      </c>
      <c r="I13" s="51" t="s">
        <v>406</v>
      </c>
    </row>
    <row r="14" spans="1:9">
      <c r="A14" s="6" t="s">
        <v>48</v>
      </c>
      <c r="B14" s="48">
        <v>9</v>
      </c>
      <c r="C14" s="8" t="str">
        <f t="shared" si="1"/>
        <v>00009</v>
      </c>
      <c r="D14" s="9" t="str">
        <f>IF(AND(EXACT(LEN(TRIM(H14)),0), EXACT(LEN(TRIM(G14)),0)),"",A14&amp;"_"&amp;VLOOKUP(E14,Valores!$D$3:$E$4,2,FALSE)&amp;"_"&amp;VLOOKUP(F14,Valores!$A$3:$B$8,2,FALSE)&amp;"_"&amp;C14)</f>
        <v>Proveedor_USU_ADV_00009</v>
      </c>
      <c r="E14" s="6" t="s">
        <v>8</v>
      </c>
      <c r="F14" s="6" t="s">
        <v>18</v>
      </c>
      <c r="G14" s="51" t="s">
        <v>407</v>
      </c>
      <c r="H14" s="51" t="s">
        <v>408</v>
      </c>
      <c r="I14" s="51" t="s">
        <v>409</v>
      </c>
    </row>
    <row r="15" spans="1:9">
      <c r="A15" s="6" t="s">
        <v>48</v>
      </c>
      <c r="B15" s="48">
        <v>10</v>
      </c>
      <c r="C15" s="8" t="str">
        <f t="shared" si="1"/>
        <v>00010</v>
      </c>
      <c r="D15" s="9" t="str">
        <f>IF(AND(EXACT(LEN(TRIM(H15)),0), EXACT(LEN(TRIM(G15)),0)),"",A15&amp;"_"&amp;VLOOKUP(E15,Valores!$D$3:$E$4,2,FALSE)&amp;"_"&amp;VLOOKUP(F15,Valores!$A$3:$B$8,2,FALSE)&amp;"_"&amp;C15)</f>
        <v>Proveedor_USU_ERR_00010</v>
      </c>
      <c r="E15" s="6" t="s">
        <v>8</v>
      </c>
      <c r="F15" s="6" t="s">
        <v>26</v>
      </c>
      <c r="G15" s="51" t="s">
        <v>201</v>
      </c>
      <c r="H15" s="51" t="s">
        <v>172</v>
      </c>
      <c r="I15" s="51" t="s">
        <v>351</v>
      </c>
    </row>
    <row r="17" spans="1:9">
      <c r="A17" s="60" t="s">
        <v>410</v>
      </c>
      <c r="B17" s="60"/>
      <c r="C17" s="60"/>
      <c r="D17" s="60"/>
      <c r="E17" s="60"/>
      <c r="F17" s="60"/>
      <c r="G17" s="60"/>
      <c r="H17" s="60"/>
      <c r="I17" s="60"/>
    </row>
    <row r="18" spans="1:9">
      <c r="A18" s="50"/>
      <c r="B18" s="50"/>
      <c r="C18" s="50"/>
      <c r="D18" s="50"/>
      <c r="E18" s="50"/>
      <c r="F18" s="50"/>
      <c r="G18" s="50"/>
      <c r="H18" s="50"/>
      <c r="I18" s="50"/>
    </row>
    <row r="19" spans="1:9">
      <c r="A19" s="5" t="s">
        <v>2</v>
      </c>
      <c r="B19" s="12" t="s">
        <v>54</v>
      </c>
      <c r="C19" s="13" t="s">
        <v>54</v>
      </c>
      <c r="D19" s="45" t="s">
        <v>55</v>
      </c>
      <c r="E19" s="46" t="s">
        <v>56</v>
      </c>
      <c r="F19" s="14" t="s">
        <v>0</v>
      </c>
      <c r="G19" s="14" t="s">
        <v>57</v>
      </c>
      <c r="H19" s="14" t="s">
        <v>58</v>
      </c>
      <c r="I19" s="14" t="s">
        <v>59</v>
      </c>
    </row>
    <row r="20" spans="1:9" ht="30">
      <c r="A20" s="6" t="s">
        <v>48</v>
      </c>
      <c r="B20" s="48">
        <v>11</v>
      </c>
      <c r="C20" s="8" t="str">
        <f t="shared" ref="C20" si="2">RIGHT("0000"&amp;B20,5)</f>
        <v>00011</v>
      </c>
      <c r="D20" s="9" t="str">
        <f>IF(AND(EXACT(LEN(TRIM(H20)),0), EXACT(LEN(TRIM(G20)),0)),"",A20&amp;"_"&amp;VLOOKUP(E20,Valores!$D$3:$E$4,2,FALSE)&amp;"_"&amp;VLOOKUP(F20,Valores!$A$3:$B$8,2,FALSE)&amp;"_"&amp;C20)</f>
        <v>Proveedor_USU_EXI_00011</v>
      </c>
      <c r="E20" s="6" t="s">
        <v>8</v>
      </c>
      <c r="F20" s="6" t="s">
        <v>12</v>
      </c>
      <c r="G20" s="51" t="s">
        <v>411</v>
      </c>
      <c r="H20" s="51" t="s">
        <v>412</v>
      </c>
      <c r="I20" s="51" t="s">
        <v>413</v>
      </c>
    </row>
    <row r="21" spans="1:9" ht="30">
      <c r="A21" s="6" t="s">
        <v>48</v>
      </c>
      <c r="B21" s="48">
        <v>12</v>
      </c>
      <c r="C21" s="8" t="str">
        <f t="shared" ref="C21" si="3">RIGHT("0000"&amp;B21,5)</f>
        <v>00012</v>
      </c>
      <c r="D21" s="9" t="str">
        <f>IF(AND(EXACT(LEN(TRIM(H21)),0), EXACT(LEN(TRIM(G21)),0)),"",A21&amp;"_"&amp;VLOOKUP(E21,Valores!$D$3:$E$4,2,FALSE)&amp;"_"&amp;VLOOKUP(F21,Valores!$A$3:$B$8,2,FALSE)&amp;"_"&amp;C21)</f>
        <v>Proveedor_USU_ADV_00012</v>
      </c>
      <c r="E21" s="6" t="s">
        <v>8</v>
      </c>
      <c r="F21" s="6" t="s">
        <v>18</v>
      </c>
      <c r="G21" s="51" t="s">
        <v>356</v>
      </c>
      <c r="H21" s="51" t="s">
        <v>414</v>
      </c>
      <c r="I21" s="51" t="s">
        <v>154</v>
      </c>
    </row>
    <row r="25" spans="1:9">
      <c r="D25" s="58"/>
    </row>
  </sheetData>
  <mergeCells count="2">
    <mergeCell ref="A10:I10"/>
    <mergeCell ref="A17:I17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79DE552-E130-4803-9A6B-CFB6A827D9EA}">
          <x14:formula1>
            <xm:f>Valores!$G$3:$G$17</xm:f>
          </x14:formula1>
          <xm:sqref>A2:A8 A20:A21 A13:A15</xm:sqref>
        </x14:dataValidation>
        <x14:dataValidation type="list" allowBlank="1" showInputMessage="1" showErrorMessage="1" errorTitle="Dato inválido" error="Valor no válido. Sólo los especificados en la lista" xr:uid="{7DC91855-4D22-4EAE-BA43-F695EF40346C}">
          <x14:formula1>
            <xm:f>Valores!$A$3:$A$8</xm:f>
          </x14:formula1>
          <xm:sqref>F2:F8 F20:F21 F13:F15</xm:sqref>
        </x14:dataValidation>
        <x14:dataValidation type="list" allowBlank="1" showInputMessage="1" showErrorMessage="1" errorTitle="Dato inválido" error="Valor no válido. Sólo los especificados en la lista" xr:uid="{C2FAA4CD-A395-4B6C-9321-DA449C1FCFA2}">
          <x14:formula1>
            <xm:f>Valores!$D$3:$D$4</xm:f>
          </x14:formula1>
          <xm:sqref>E2:E8 E20:E21 E13:E15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416A-356C-4A7E-A10E-68EB4274A3FC}">
  <dimension ref="A1:I9"/>
  <sheetViews>
    <sheetView workbookViewId="0">
      <selection activeCell="A2" sqref="A2"/>
    </sheetView>
  </sheetViews>
  <sheetFormatPr defaultColWidth="9.140625" defaultRowHeight="15"/>
  <cols>
    <col min="1" max="1" width="19.7109375" customWidth="1"/>
    <col min="2" max="2" width="22.5703125" customWidth="1"/>
    <col min="3" max="3" width="24.140625" customWidth="1"/>
    <col min="4" max="4" width="27.85546875" customWidth="1"/>
    <col min="5" max="5" width="21.5703125" customWidth="1"/>
    <col min="6" max="6" width="35.7109375" customWidth="1"/>
    <col min="7" max="7" width="67.42578125" customWidth="1"/>
    <col min="8" max="8" width="110.28515625" bestFit="1" customWidth="1"/>
    <col min="9" max="9" width="90.140625" customWidth="1"/>
    <col min="10" max="10" width="125.5703125" bestFit="1" customWidth="1"/>
    <col min="11" max="11" width="93.85546875" bestFit="1" customWidth="1"/>
  </cols>
  <sheetData>
    <row r="1" spans="1:9">
      <c r="A1" s="5" t="s">
        <v>2</v>
      </c>
      <c r="B1" s="12" t="s">
        <v>54</v>
      </c>
      <c r="C1" s="13" t="s">
        <v>54</v>
      </c>
      <c r="D1" s="45" t="s">
        <v>55</v>
      </c>
      <c r="E1" s="46" t="s">
        <v>56</v>
      </c>
      <c r="F1" s="14" t="s">
        <v>0</v>
      </c>
      <c r="G1" s="14" t="s">
        <v>57</v>
      </c>
      <c r="H1" s="14" t="s">
        <v>58</v>
      </c>
      <c r="I1" s="14" t="s">
        <v>59</v>
      </c>
    </row>
    <row r="2" spans="1:9">
      <c r="A2" s="6" t="s">
        <v>50</v>
      </c>
      <c r="B2" s="48">
        <v>1</v>
      </c>
      <c r="C2" s="8" t="str">
        <f t="shared" ref="C2:C4" si="0">RIGHT("0000"&amp;B2,5)</f>
        <v>00001</v>
      </c>
      <c r="D2" s="9" t="str">
        <f>IF(AND(EXACT(LEN(TRIM(H2)),0), EXACT(LEN(TRIM(G2)),0)),"",A2&amp;"_"&amp;VLOOKUP(E2,Valores!$D$3:$E$4,2,FALSE)&amp;"_"&amp;VLOOKUP(F2,Valores!$A$3:$B$8,2,FALSE)&amp;"_"&amp;C2)</f>
        <v>Categoria_USU_EXI_00001</v>
      </c>
      <c r="E2" s="6" t="s">
        <v>8</v>
      </c>
      <c r="F2" s="6" t="s">
        <v>12</v>
      </c>
      <c r="G2" s="51" t="s">
        <v>415</v>
      </c>
      <c r="H2" s="51" t="s">
        <v>416</v>
      </c>
      <c r="I2" s="51" t="s">
        <v>417</v>
      </c>
    </row>
    <row r="3" spans="1:9">
      <c r="A3" s="6" t="s">
        <v>50</v>
      </c>
      <c r="B3" s="48">
        <v>2</v>
      </c>
      <c r="C3" s="8" t="str">
        <f t="shared" si="0"/>
        <v>00002</v>
      </c>
      <c r="D3" s="9" t="str">
        <f>IF(AND(EXACT(LEN(TRIM(H3)),0), EXACT(LEN(TRIM(G3)),0)),"",A3&amp;"_"&amp;VLOOKUP(E3,Valores!$D$3:$E$4,2,FALSE)&amp;"_"&amp;VLOOKUP(F3,Valores!$A$3:$B$8,2,FALSE)&amp;"_"&amp;C3)</f>
        <v>Categoria_USU_ERR_00002</v>
      </c>
      <c r="E3" s="6" t="s">
        <v>8</v>
      </c>
      <c r="F3" s="6" t="s">
        <v>26</v>
      </c>
      <c r="G3" s="51" t="s">
        <v>418</v>
      </c>
      <c r="H3" s="51" t="s">
        <v>419</v>
      </c>
      <c r="I3" s="51" t="s">
        <v>420</v>
      </c>
    </row>
    <row r="4" spans="1:9">
      <c r="A4" s="6" t="s">
        <v>50</v>
      </c>
      <c r="B4" s="48">
        <v>3</v>
      </c>
      <c r="C4" s="8" t="str">
        <f t="shared" si="0"/>
        <v>00003</v>
      </c>
      <c r="D4" s="9" t="str">
        <f>IF(AND(EXACT(LEN(TRIM(H4)),0), EXACT(LEN(TRIM(G4)),0)),"",A4&amp;"_"&amp;VLOOKUP(E4,Valores!$D$3:$E$4,2,FALSE)&amp;"_"&amp;VLOOKUP(F4,Valores!$A$3:$B$8,2,FALSE)&amp;"_"&amp;C4)</f>
        <v>Categoria_USU_ERR_00003</v>
      </c>
      <c r="E4" s="6" t="s">
        <v>8</v>
      </c>
      <c r="F4" s="6" t="s">
        <v>26</v>
      </c>
      <c r="G4" s="51" t="s">
        <v>421</v>
      </c>
      <c r="H4" s="51" t="s">
        <v>422</v>
      </c>
      <c r="I4" s="51" t="s">
        <v>417</v>
      </c>
    </row>
    <row r="5" spans="1:9">
      <c r="G5" s="51"/>
      <c r="H5" s="51"/>
      <c r="I5" s="51"/>
    </row>
    <row r="6" spans="1:9">
      <c r="A6" s="60" t="s">
        <v>403</v>
      </c>
      <c r="B6" s="60"/>
      <c r="C6" s="60"/>
      <c r="D6" s="60"/>
      <c r="E6" s="60"/>
      <c r="F6" s="60"/>
      <c r="G6" s="60"/>
      <c r="H6" s="60"/>
      <c r="I6" s="60"/>
    </row>
    <row r="7" spans="1:9">
      <c r="A7" s="50"/>
      <c r="B7" s="50"/>
      <c r="C7" s="50"/>
      <c r="D7" s="50"/>
      <c r="E7" s="50"/>
      <c r="F7" s="50"/>
      <c r="G7" s="50"/>
      <c r="H7" s="50"/>
      <c r="I7" s="50"/>
    </row>
    <row r="8" spans="1:9">
      <c r="A8" s="5" t="s">
        <v>2</v>
      </c>
      <c r="B8" s="12" t="s">
        <v>54</v>
      </c>
      <c r="C8" s="13" t="s">
        <v>54</v>
      </c>
      <c r="D8" s="45" t="s">
        <v>55</v>
      </c>
      <c r="E8" s="46" t="s">
        <v>56</v>
      </c>
      <c r="F8" s="14" t="s">
        <v>0</v>
      </c>
      <c r="G8" s="14" t="s">
        <v>57</v>
      </c>
      <c r="H8" s="14" t="s">
        <v>58</v>
      </c>
      <c r="I8" s="14" t="s">
        <v>59</v>
      </c>
    </row>
    <row r="9" spans="1:9">
      <c r="A9" s="6" t="s">
        <v>50</v>
      </c>
      <c r="B9" s="48">
        <v>4</v>
      </c>
      <c r="C9" s="8" t="str">
        <f t="shared" ref="C9" si="1">RIGHT("0000"&amp;B9,5)</f>
        <v>00004</v>
      </c>
      <c r="D9" s="9" t="str">
        <f>IF(AND(EXACT(LEN(TRIM(H9)),0), EXACT(LEN(TRIM(G9)),0)),"",A9&amp;"_"&amp;VLOOKUP(E9,Valores!$D$3:$E$4,2,FALSE)&amp;"_"&amp;VLOOKUP(F9,Valores!$A$3:$B$8,2,FALSE)&amp;"_"&amp;C9)</f>
        <v>Categoria_USU_EXI_00004</v>
      </c>
      <c r="E9" s="6" t="s">
        <v>8</v>
      </c>
      <c r="F9" s="6" t="s">
        <v>12</v>
      </c>
      <c r="G9" s="51" t="s">
        <v>423</v>
      </c>
      <c r="H9" s="51" t="s">
        <v>424</v>
      </c>
      <c r="I9" s="51" t="s">
        <v>417</v>
      </c>
    </row>
  </sheetData>
  <mergeCells count="1">
    <mergeCell ref="A6:I6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Dato inválido" error="Valor no válido. Sólo los especificados en la lista" xr:uid="{B8861749-F139-4BCB-8A0C-28CEF77A6CE8}">
          <x14:formula1>
            <xm:f>Valores!$D$3:$D$4</xm:f>
          </x14:formula1>
          <xm:sqref>E2:E4 E9</xm:sqref>
        </x14:dataValidation>
        <x14:dataValidation type="list" allowBlank="1" showInputMessage="1" showErrorMessage="1" errorTitle="Dato inválido" error="Valor no válido. Sólo los especificados en la lista" xr:uid="{CB171A32-C8FE-4C19-83E3-16AC97ECC1C3}">
          <x14:formula1>
            <xm:f>Valores!$A$3:$A$8</xm:f>
          </x14:formula1>
          <xm:sqref>F9 F2:F4</xm:sqref>
        </x14:dataValidation>
        <x14:dataValidation type="list" allowBlank="1" showInputMessage="1" showErrorMessage="1" xr:uid="{60245817-883D-4E43-B734-8D4F21746611}">
          <x14:formula1>
            <xm:f>Valores!$G$3:$G$17</xm:f>
          </x14:formula1>
          <xm:sqref>A9 A2:A4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A572-4E6E-41D4-AC6C-B0D9BD11140A}">
  <dimension ref="A1:I10"/>
  <sheetViews>
    <sheetView topLeftCell="H1" workbookViewId="0">
      <selection activeCell="I10" sqref="I10"/>
    </sheetView>
  </sheetViews>
  <sheetFormatPr defaultColWidth="9.140625" defaultRowHeight="15"/>
  <cols>
    <col min="1" max="1" width="19.7109375" customWidth="1"/>
    <col min="2" max="2" width="22.5703125" customWidth="1"/>
    <col min="3" max="3" width="24.140625" customWidth="1"/>
    <col min="4" max="4" width="27.85546875" customWidth="1"/>
    <col min="5" max="5" width="21.5703125" customWidth="1"/>
    <col min="6" max="6" width="35.7109375" customWidth="1"/>
    <col min="7" max="7" width="67.42578125" customWidth="1"/>
    <col min="8" max="8" width="110.28515625" bestFit="1" customWidth="1"/>
    <col min="9" max="9" width="90.140625" customWidth="1"/>
    <col min="10" max="10" width="125.5703125" bestFit="1" customWidth="1"/>
    <col min="11" max="11" width="93.85546875" bestFit="1" customWidth="1"/>
  </cols>
  <sheetData>
    <row r="1" spans="1:9">
      <c r="A1" s="5" t="s">
        <v>2</v>
      </c>
      <c r="B1" s="12" t="s">
        <v>54</v>
      </c>
      <c r="C1" s="13" t="s">
        <v>54</v>
      </c>
      <c r="D1" s="45" t="s">
        <v>55</v>
      </c>
      <c r="E1" s="46" t="s">
        <v>56</v>
      </c>
      <c r="F1" s="14" t="s">
        <v>0</v>
      </c>
      <c r="G1" s="14" t="s">
        <v>57</v>
      </c>
      <c r="H1" s="14" t="s">
        <v>58</v>
      </c>
      <c r="I1" s="14" t="s">
        <v>59</v>
      </c>
    </row>
    <row r="2" spans="1:9">
      <c r="A2" s="6" t="s">
        <v>52</v>
      </c>
      <c r="B2" s="48">
        <v>1</v>
      </c>
      <c r="C2" s="8" t="str">
        <f t="shared" ref="C2" si="0">RIGHT("0000"&amp;B2,5)</f>
        <v>00001</v>
      </c>
      <c r="D2" s="9" t="str">
        <f>IF(AND(EXACT(LEN(TRIM(H2)),0), EXACT(LEN(TRIM(G2)),0)),"",A2&amp;"_"&amp;VLOOKUP(E2,Valores!$D$3:$E$4,2,FALSE)&amp;"_"&amp;VLOOKUP(F2,Valores!$A$3:$B$8,2,FALSE)&amp;"_"&amp;C2)</f>
        <v>Persona_USU_EXI_00001</v>
      </c>
      <c r="E2" s="6" t="s">
        <v>8</v>
      </c>
      <c r="F2" s="6" t="s">
        <v>12</v>
      </c>
      <c r="G2" s="51" t="s">
        <v>425</v>
      </c>
      <c r="H2" s="51" t="s">
        <v>426</v>
      </c>
      <c r="I2" s="51" t="s">
        <v>427</v>
      </c>
    </row>
    <row r="3" spans="1:9">
      <c r="G3" s="51"/>
      <c r="H3" s="51"/>
      <c r="I3" s="51"/>
    </row>
    <row r="4" spans="1:9">
      <c r="A4" s="60" t="s">
        <v>403</v>
      </c>
      <c r="B4" s="60"/>
      <c r="C4" s="60"/>
      <c r="D4" s="60"/>
      <c r="E4" s="60"/>
      <c r="F4" s="60"/>
      <c r="G4" s="60"/>
      <c r="H4" s="60"/>
      <c r="I4" s="60"/>
    </row>
    <row r="5" spans="1:9">
      <c r="A5" s="50"/>
      <c r="B5" s="50"/>
      <c r="C5" s="50"/>
      <c r="D5" s="50"/>
      <c r="E5" s="50"/>
      <c r="F5" s="50"/>
      <c r="G5" s="50"/>
      <c r="H5" s="50"/>
      <c r="I5" s="50"/>
    </row>
    <row r="6" spans="1:9">
      <c r="A6" s="5" t="s">
        <v>2</v>
      </c>
      <c r="B6" s="12" t="s">
        <v>54</v>
      </c>
      <c r="C6" s="13" t="s">
        <v>54</v>
      </c>
      <c r="D6" s="45" t="s">
        <v>55</v>
      </c>
      <c r="E6" s="46" t="s">
        <v>56</v>
      </c>
      <c r="F6" s="14" t="s">
        <v>0</v>
      </c>
      <c r="G6" s="14" t="s">
        <v>57</v>
      </c>
      <c r="H6" s="14" t="s">
        <v>58</v>
      </c>
      <c r="I6" s="14" t="s">
        <v>59</v>
      </c>
    </row>
    <row r="7" spans="1:9">
      <c r="A7" s="6" t="s">
        <v>52</v>
      </c>
      <c r="B7" s="48">
        <v>2</v>
      </c>
      <c r="C7" s="8" t="str">
        <f>RIGHT("0000"&amp;B7,5)</f>
        <v>00002</v>
      </c>
      <c r="D7" s="9" t="str">
        <f>IF(AND(EXACT(LEN(TRIM(H7)),0), EXACT(LEN(TRIM(G7)),0)),"",A7&amp;"_"&amp;VLOOKUP(E7,Valores!$D$3:$E$4,2,FALSE)&amp;"_"&amp;VLOOKUP(F7,Valores!$A$3:$B$8,2,FALSE)&amp;"_"&amp;C7)</f>
        <v>Persona_USU_EXI_00002</v>
      </c>
      <c r="E7" s="6" t="s">
        <v>8</v>
      </c>
      <c r="F7" s="6" t="s">
        <v>12</v>
      </c>
      <c r="G7" s="51" t="s">
        <v>428</v>
      </c>
      <c r="H7" s="51" t="s">
        <v>429</v>
      </c>
      <c r="I7" s="51" t="s">
        <v>427</v>
      </c>
    </row>
    <row r="10" spans="1:9">
      <c r="I10" s="58"/>
    </row>
  </sheetData>
  <mergeCells count="1">
    <mergeCell ref="A4:I4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4F19D4E-3400-4707-A609-3451E66DDC5C}">
          <x14:formula1>
            <xm:f>Valores!$G$3:$G$18</xm:f>
          </x14:formula1>
          <xm:sqref>A7 A2</xm:sqref>
        </x14:dataValidation>
        <x14:dataValidation type="list" allowBlank="1" showInputMessage="1" showErrorMessage="1" errorTitle="Dato inválido" error="Valor no válido. Sólo los especificados en la lista" xr:uid="{B79D6E1F-FA1D-42D1-ABF0-9265BD28F2F1}">
          <x14:formula1>
            <xm:f>Valores!$A$3:$A$8</xm:f>
          </x14:formula1>
          <xm:sqref>F7 F2</xm:sqref>
        </x14:dataValidation>
        <x14:dataValidation type="list" allowBlank="1" showInputMessage="1" showErrorMessage="1" errorTitle="Dato inválido" error="Valor no válido. Sólo los especificados en la lista" xr:uid="{A4044F0E-F45A-4238-82FF-64FDA79FF8DD}">
          <x14:formula1>
            <xm:f>Valores!$D$3:$D$4</xm:f>
          </x14:formula1>
          <xm:sqref>E2 E7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E00E38F6D3014A8F884FC2DDE00A5F" ma:contentTypeVersion="10" ma:contentTypeDescription="Crear nuevo documento." ma:contentTypeScope="" ma:versionID="8357d1d4046c139e3c167f60715357ac">
  <xsd:schema xmlns:xsd="http://www.w3.org/2001/XMLSchema" xmlns:xs="http://www.w3.org/2001/XMLSchema" xmlns:p="http://schemas.microsoft.com/office/2006/metadata/properties" xmlns:ns2="56c64bb3-cb7a-4fe9-88a1-7ff1075f30e8" xmlns:ns3="0781251d-e4d8-450f-899a-ee8df7b83b53" targetNamespace="http://schemas.microsoft.com/office/2006/metadata/properties" ma:root="true" ma:fieldsID="4c68e072952b9eeca7b9f091bc5d7c52" ns2:_="" ns3:_="">
    <xsd:import namespace="56c64bb3-cb7a-4fe9-88a1-7ff1075f30e8"/>
    <xsd:import namespace="0781251d-e4d8-450f-899a-ee8df7b83b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64bb3-cb7a-4fe9-88a1-7ff1075f3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1251d-e4d8-450f-899a-ee8df7b83b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66b1ff-f4f7-4666-8b74-05ce9b72cee4}" ma:internalName="TaxCatchAll" ma:showField="CatchAllData" ma:web="0781251d-e4d8-450f-899a-ee8df7b83b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64bb3-cb7a-4fe9-88a1-7ff1075f30e8">
      <Terms xmlns="http://schemas.microsoft.com/office/infopath/2007/PartnerControls"/>
    </lcf76f155ced4ddcb4097134ff3c332f>
    <TaxCatchAll xmlns="0781251d-e4d8-450f-899a-ee8df7b83b53" xsi:nil="true"/>
  </documentManagement>
</p:properties>
</file>

<file path=customXml/itemProps1.xml><?xml version="1.0" encoding="utf-8"?>
<ds:datastoreItem xmlns:ds="http://schemas.openxmlformats.org/officeDocument/2006/customXml" ds:itemID="{617DF630-2196-424F-8F56-6623F7C26909}"/>
</file>

<file path=customXml/itemProps2.xml><?xml version="1.0" encoding="utf-8"?>
<ds:datastoreItem xmlns:ds="http://schemas.openxmlformats.org/officeDocument/2006/customXml" ds:itemID="{6E772161-2C8E-40CB-8E45-D1A681007D81}"/>
</file>

<file path=customXml/itemProps3.xml><?xml version="1.0" encoding="utf-8"?>
<ds:datastoreItem xmlns:ds="http://schemas.openxmlformats.org/officeDocument/2006/customXml" ds:itemID="{8F2957E8-B6FC-4189-B914-97B16F87F397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Alexander Cardona Alzate</cp:lastModifiedBy>
  <cp:revision/>
  <dcterms:created xsi:type="dcterms:W3CDTF">2019-04-11T18:47:24Z</dcterms:created>
  <dcterms:modified xsi:type="dcterms:W3CDTF">2026-01-09T04:30:20Z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b2b69010-be93-419b-b5ef-389e9ff4be8f</vt:lpwstr>
  </property>
  <property fmtid="{D5CDD505-2E9C-101B-9397-08002B2CF9AE}" pid="3" name="ContentTypeId">
    <vt:lpwstr>0x0101009AE00E38F6D3014A8F884FC2DDE00A5F</vt:lpwstr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666bb131-2344-48ed-84db-fe1e84a9fae2_Enabled">
    <vt:lpwstr>true</vt:lpwstr>
  </property>
  <property fmtid="{D5CDD505-2E9C-101B-9397-08002B2CF9AE}" pid="7" name="MSIP_Label_666bb131-2344-48ed-84db-fe1e84a9fae2_SetDate">
    <vt:lpwstr>2021-12-20T12:43:43Z</vt:lpwstr>
  </property>
  <property fmtid="{D5CDD505-2E9C-101B-9397-08002B2CF9AE}" pid="8" name="MSIP_Label_666bb131-2344-48ed-84db-fe1e84a9fae2_Method">
    <vt:lpwstr>Standard</vt:lpwstr>
  </property>
  <property fmtid="{D5CDD505-2E9C-101B-9397-08002B2CF9AE}" pid="9" name="MSIP_Label_666bb131-2344-48ed-84db-fe1e84a9fae2_Name">
    <vt:lpwstr>666bb131-2344-48ed-84db-fe1e84a9fae2</vt:lpwstr>
  </property>
  <property fmtid="{D5CDD505-2E9C-101B-9397-08002B2CF9AE}" pid="10" name="MSIP_Label_666bb131-2344-48ed-84db-fe1e84a9fae2_SiteId">
    <vt:lpwstr>bf1ce8b5-5d39-4bc5-ad6e-07b3e4d7d67a</vt:lpwstr>
  </property>
  <property fmtid="{D5CDD505-2E9C-101B-9397-08002B2CF9AE}" pid="11" name="MSIP_Label_666bb131-2344-48ed-84db-fe1e84a9fae2_ActionId">
    <vt:lpwstr>d3672acd-e2ae-432b-b647-2d824c857db3</vt:lpwstr>
  </property>
  <property fmtid="{D5CDD505-2E9C-101B-9397-08002B2CF9AE}" pid="12" name="MSIP_Label_666bb131-2344-48ed-84db-fe1e84a9fae2_ContentBits">
    <vt:lpwstr>0</vt:lpwstr>
  </property>
  <property fmtid="{D5CDD505-2E9C-101B-9397-08002B2CF9AE}" pid="13" name="MediaServiceImageTags">
    <vt:lpwstr/>
  </property>
</Properties>
</file>