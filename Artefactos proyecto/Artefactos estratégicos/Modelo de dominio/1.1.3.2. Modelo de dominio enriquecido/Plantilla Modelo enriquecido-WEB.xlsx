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uconet.sharepoint.com/sites/ProyectodegradoBloquera/Shared Documents/General/Estructura-Plantillas trabajos de grado/1. Artefactos proyecto/1.1. Artefactos estratégicos/1.1.4. Modelo de dominio/1.1.3.2. Modelo de dominio enriquecido/"/>
    </mc:Choice>
  </mc:AlternateContent>
  <xr:revisionPtr revIDLastSave="5391" documentId="13_ncr:1_{A3ED26CE-B9B4-44E1-B8D4-0D8FE2E00BFE}" xr6:coauthVersionLast="47" xr6:coauthVersionMax="47" xr10:uidLastSave="{AAE60E08-29D7-4A3E-B745-8BBFF4393AE1}"/>
  <bookViews>
    <workbookView xWindow="-120" yWindow="-120" windowWidth="38640" windowHeight="21120" tabRatio="668" firstSheet="1" activeTab="6" xr2:uid="{36012E7C-B3F4-482B-AC16-7CCB81B9AE88}"/>
  </bookViews>
  <sheets>
    <sheet name="Modelo de dominio anémico" sheetId="61" r:id="rId1"/>
    <sheet name="Listado Objetos de Dominio" sheetId="125" r:id="rId2"/>
    <sheet name="Formulario Contacto" sheetId="71" r:id="rId3"/>
    <sheet name="Muestreo Formulario Contacto" sheetId="117" r:id="rId4"/>
    <sheet name="Usuario Visitante" sheetId="126" r:id="rId5"/>
    <sheet name="Muestreo Usuario Visitante" sheetId="116" r:id="rId6"/>
    <sheet name="Producto Web" sheetId="70" r:id="rId7"/>
    <sheet name="Muestreo Producto Web" sheetId="114" r:id="rId8"/>
    <sheet name="ChatBot" sheetId="127" r:id="rId9"/>
    <sheet name="Muestreo ChatBot" sheetId="128" r:id="rId10"/>
  </sheets>
  <definedNames>
    <definedName name="_xlnm._FilterDatabase" localSheetId="1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27" l="1"/>
  <c r="B2" i="127"/>
  <c r="R4" i="127"/>
  <c r="Q4" i="127"/>
  <c r="B2" i="71"/>
  <c r="B3" i="71"/>
  <c r="B3" i="70"/>
  <c r="B3" i="126"/>
  <c r="B2" i="70"/>
  <c r="B2" i="126"/>
  <c r="T4" i="126"/>
  <c r="S4" i="126"/>
  <c r="R4" i="126"/>
  <c r="Q4" i="126"/>
  <c r="Q4" i="71"/>
  <c r="Q4" i="70"/>
  <c r="R4" i="70"/>
  <c r="S4" i="70"/>
</calcChain>
</file>

<file path=xl/sharedStrings.xml><?xml version="1.0" encoding="utf-8"?>
<sst xmlns="http://schemas.openxmlformats.org/spreadsheetml/2006/main" count="218" uniqueCount="61">
  <si>
    <t>Nombre</t>
  </si>
  <si>
    <t>Muestreo</t>
  </si>
  <si>
    <t>Descripción</t>
  </si>
  <si>
    <t>Formulario Contacto</t>
  </si>
  <si>
    <t>&lt;&lt;muestreo&gt;&gt;</t>
  </si>
  <si>
    <t>Esta entidad almacena los datos del formulario de contacto de la página web, como el nombre, correo electrónico, mensaje e información proporcionada por el usuario que quiera ser contactado por un asesor de ventas .</t>
  </si>
  <si>
    <t>Producto Web</t>
  </si>
  <si>
    <t>Esta entidad contiene los detalles de los productos disponibles en el sitio web, tales como nombre, descripción, Categoria,imagen</t>
  </si>
  <si>
    <t>Usuario Visitante</t>
  </si>
  <si>
    <t>Esta entidad contiene información sobre los usuarios que interactúan con la página web de manera anónima, sin necesidad de autenticación o registro.</t>
  </si>
  <si>
    <t>ChatBot</t>
  </si>
  <si>
    <t xml:space="preserve">Esta entidad se encarga de redireccionar el chatbot desde la pagina web. </t>
  </si>
  <si>
    <t>&lt;-Volver al inicio</t>
  </si>
  <si>
    <t>Objeto de Dominio:</t>
  </si>
  <si>
    <t>Descripción:</t>
  </si>
  <si>
    <t>Atributo</t>
  </si>
  <si>
    <t>Tipo de Dato</t>
  </si>
  <si>
    <t>Longitud mínima</t>
  </si>
  <si>
    <t>Longitud máxima</t>
  </si>
  <si>
    <t>Precisión</t>
  </si>
  <si>
    <t>Rango Inicial</t>
  </si>
  <si>
    <t>Rango Final</t>
  </si>
  <si>
    <t>Formato</t>
  </si>
  <si>
    <t>Valor por defecto</t>
  </si>
  <si>
    <t>Regla especial</t>
  </si>
  <si>
    <t>¿Auto generado?</t>
  </si>
  <si>
    <t>¿Calculado?</t>
  </si>
  <si>
    <t>¿Obligatorio?</t>
  </si>
  <si>
    <t>¿Sensible?</t>
  </si>
  <si>
    <t>¿Identifica al registro?</t>
  </si>
  <si>
    <t>id</t>
  </si>
  <si>
    <t>Numerico</t>
  </si>
  <si>
    <t>Si</t>
  </si>
  <si>
    <t>No</t>
  </si>
  <si>
    <t>Sí</t>
  </si>
  <si>
    <t xml:space="preserve">Identificador único del formulario de contacto.
</t>
  </si>
  <si>
    <t>Alfanumerico</t>
  </si>
  <si>
    <t>Nombre del usuario que ha enviado el formulario de contacto.</t>
  </si>
  <si>
    <t xml:space="preserve">correo_electronico	</t>
  </si>
  <si>
    <t>Correo electrónico del usuario que contacta a través del formulario.</t>
  </si>
  <si>
    <t>mensaje</t>
  </si>
  <si>
    <t xml:space="preserve">	Mensaje enviado por el usuario en el formulario de contacto.</t>
  </si>
  <si>
    <t xml:space="preserve">fecha_envio	</t>
  </si>
  <si>
    <t xml:space="preserve">Fecha y hora	</t>
  </si>
  <si>
    <t>fecha actual</t>
  </si>
  <si>
    <t xml:space="preserve">Fecha y hora en la que se envió el formulario.
</t>
  </si>
  <si>
    <t>Combinaciones únicas</t>
  </si>
  <si>
    <t>Nombre combinación</t>
  </si>
  <si>
    <t>Atributos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</si>
  <si>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</si>
  <si>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</si>
  <si>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</si>
  <si>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</si>
  <si>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</si>
  <si>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</si>
  <si>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</si>
  <si>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Política</t>
  </si>
  <si>
    <t>Detalle</t>
  </si>
  <si>
    <t>¿Qué hago?</t>
  </si>
  <si>
    <t>&lt;&lt;Muestreo de datos&gt;&gt;</t>
  </si>
  <si>
    <t xml:space="preserve">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</si>
</sst>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 tint="0.7999816888943144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</cellStyleXfs>
  <cellXfs count="139">
    <xf numFmtId="0" fontId="0" fillId="0" borderId="0" xfId="0"/>
    <xf numFmtId="0" fontId="0" fillId="0" borderId="0" xfId="0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0" fillId="4" borderId="0" xfId="0" applyFill="1"/>
    <xf numFmtId="0" fontId="5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quotePrefix="1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quotePrefix="1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2" fillId="6" borderId="1" xfId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6" xfId="0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3" fillId="5" borderId="3" xfId="1" applyFont="1" applyFill="1" applyBorder="1" applyAlignment="1">
      <alignment horizontal="center" vertical="center"/>
    </xf>
    <xf numFmtId="0" fontId="3" fillId="10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2" fillId="8" borderId="9" xfId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7" borderId="1" xfId="1" applyFill="1" applyBorder="1" applyAlignment="1">
      <alignment vertical="center"/>
    </xf>
    <xf numFmtId="0" fontId="4" fillId="8" borderId="8" xfId="0" applyFont="1" applyFill="1" applyBorder="1" applyAlignment="1">
      <alignment vertical="center"/>
    </xf>
    <xf numFmtId="0" fontId="2" fillId="6" borderId="24" xfId="2" applyFill="1" applyBorder="1" applyAlignment="1">
      <alignment horizontal="center" vertical="center"/>
    </xf>
    <xf numFmtId="0" fontId="4" fillId="8" borderId="7" xfId="0" applyFont="1" applyFill="1" applyBorder="1" applyAlignment="1">
      <alignment vertical="center" wrapText="1"/>
    </xf>
    <xf numFmtId="0" fontId="2" fillId="8" borderId="9" xfId="2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2" fillId="6" borderId="1" xfId="1" applyFill="1" applyBorder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2" fillId="8" borderId="9" xfId="2" applyFill="1" applyBorder="1" applyAlignment="1">
      <alignment vertical="center" wrapText="1"/>
    </xf>
    <xf numFmtId="0" fontId="0" fillId="10" borderId="14" xfId="0" applyFill="1" applyBorder="1" applyAlignment="1">
      <alignment vertical="center"/>
    </xf>
    <xf numFmtId="0" fontId="2" fillId="10" borderId="19" xfId="1" applyFill="1" applyBorder="1" applyAlignment="1">
      <alignment horizontal="left" vertical="center"/>
    </xf>
    <xf numFmtId="0" fontId="0" fillId="12" borderId="27" xfId="0" applyFill="1" applyBorder="1" applyAlignment="1">
      <alignment horizontal="left" vertical="center"/>
    </xf>
    <xf numFmtId="0" fontId="2" fillId="12" borderId="0" xfId="1" applyFill="1" applyBorder="1" applyAlignment="1">
      <alignment horizontal="left" vertical="center"/>
    </xf>
    <xf numFmtId="0" fontId="0" fillId="12" borderId="23" xfId="0" applyFill="1" applyBorder="1" applyAlignment="1">
      <alignment horizontal="left" vertical="center"/>
    </xf>
    <xf numFmtId="0" fontId="0" fillId="12" borderId="23" xfId="0" applyFill="1" applyBorder="1" applyAlignment="1">
      <alignment vertical="center"/>
    </xf>
    <xf numFmtId="0" fontId="0" fillId="12" borderId="23" xfId="0" applyFill="1" applyBorder="1" applyAlignment="1">
      <alignment vertical="center" wrapText="1"/>
    </xf>
    <xf numFmtId="0" fontId="0" fillId="12" borderId="25" xfId="0" applyFill="1" applyBorder="1" applyAlignment="1">
      <alignment vertical="center"/>
    </xf>
    <xf numFmtId="0" fontId="0" fillId="10" borderId="31" xfId="0" applyFill="1" applyBorder="1" applyAlignment="1">
      <alignment horizontal="left" vertical="center"/>
    </xf>
    <xf numFmtId="0" fontId="0" fillId="10" borderId="29" xfId="0" applyFill="1" applyBorder="1" applyAlignment="1">
      <alignment horizontal="center" vertical="center"/>
    </xf>
    <xf numFmtId="0" fontId="0" fillId="10" borderId="29" xfId="0" applyFill="1" applyBorder="1" applyAlignment="1">
      <alignment horizontal="left" vertical="center"/>
    </xf>
    <xf numFmtId="0" fontId="1" fillId="1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10" borderId="32" xfId="0" applyFill="1" applyBorder="1" applyAlignment="1">
      <alignment vertical="center" wrapText="1"/>
    </xf>
    <xf numFmtId="0" fontId="0" fillId="12" borderId="27" xfId="0" applyFill="1" applyBorder="1" applyAlignment="1">
      <alignment vertical="center" wrapText="1"/>
    </xf>
    <xf numFmtId="0" fontId="0" fillId="10" borderId="33" xfId="0" applyFill="1" applyBorder="1" applyAlignment="1">
      <alignment vertical="center" wrapText="1"/>
    </xf>
    <xf numFmtId="0" fontId="7" fillId="5" borderId="20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 wrapText="1"/>
    </xf>
    <xf numFmtId="0" fontId="2" fillId="11" borderId="1" xfId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2" fillId="5" borderId="1" xfId="1" applyFill="1" applyBorder="1" applyAlignment="1">
      <alignment horizontal="left" vertical="center" wrapText="1"/>
    </xf>
    <xf numFmtId="0" fontId="2" fillId="10" borderId="1" xfId="1" applyFill="1" applyBorder="1" applyAlignment="1">
      <alignment horizontal="left" vertical="center" wrapText="1"/>
    </xf>
    <xf numFmtId="0" fontId="7" fillId="5" borderId="18" xfId="0" applyFont="1" applyFill="1" applyBorder="1" applyAlignment="1">
      <alignment horizontal="center" vertical="center"/>
    </xf>
    <xf numFmtId="0" fontId="2" fillId="0" borderId="0" xfId="1" applyAlignment="1">
      <alignment vertical="center"/>
    </xf>
    <xf numFmtId="0" fontId="2" fillId="0" borderId="0" xfId="1" applyFill="1"/>
    <xf numFmtId="0" fontId="0" fillId="12" borderId="13" xfId="0" applyFill="1" applyBorder="1" applyAlignment="1">
      <alignment horizontal="center" vertical="center"/>
    </xf>
    <xf numFmtId="0" fontId="2" fillId="6" borderId="16" xfId="2" applyFill="1" applyBorder="1" applyAlignment="1">
      <alignment horizontal="center" vertical="center"/>
    </xf>
    <xf numFmtId="0" fontId="2" fillId="6" borderId="12" xfId="2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13" borderId="27" xfId="0" applyFill="1" applyBorder="1" applyAlignment="1">
      <alignment horizontal="left" vertical="center"/>
    </xf>
    <xf numFmtId="0" fontId="2" fillId="13" borderId="0" xfId="1" applyFill="1" applyBorder="1" applyAlignment="1">
      <alignment horizontal="left" vertical="center"/>
    </xf>
    <xf numFmtId="0" fontId="0" fillId="13" borderId="23" xfId="0" applyFill="1" applyBorder="1" applyAlignment="1">
      <alignment horizontal="left" vertical="center"/>
    </xf>
    <xf numFmtId="0" fontId="0" fillId="13" borderId="13" xfId="0" applyFill="1" applyBorder="1" applyAlignment="1">
      <alignment horizontal="center" vertical="center"/>
    </xf>
    <xf numFmtId="0" fontId="0" fillId="13" borderId="23" xfId="0" applyFill="1" applyBorder="1" applyAlignment="1">
      <alignment vertical="center"/>
    </xf>
    <xf numFmtId="0" fontId="0" fillId="13" borderId="23" xfId="0" applyFill="1" applyBorder="1" applyAlignment="1">
      <alignment vertical="center" wrapText="1"/>
    </xf>
    <xf numFmtId="0" fontId="0" fillId="13" borderId="27" xfId="0" applyFill="1" applyBorder="1" applyAlignment="1">
      <alignment vertical="center" wrapText="1"/>
    </xf>
    <xf numFmtId="0" fontId="0" fillId="13" borderId="25" xfId="0" applyFill="1" applyBorder="1" applyAlignment="1">
      <alignment vertical="center"/>
    </xf>
    <xf numFmtId="0" fontId="2" fillId="6" borderId="13" xfId="2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 wrapText="1"/>
    </xf>
    <xf numFmtId="0" fontId="0" fillId="13" borderId="26" xfId="0" applyFill="1" applyBorder="1" applyAlignment="1">
      <alignment horizontal="center" vertical="center" wrapText="1"/>
    </xf>
    <xf numFmtId="0" fontId="0" fillId="13" borderId="28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3" borderId="26" xfId="0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 wrapText="1"/>
    </xf>
    <xf numFmtId="0" fontId="0" fillId="12" borderId="26" xfId="0" applyFill="1" applyBorder="1" applyAlignment="1">
      <alignment horizontal="center" vertical="center" wrapText="1"/>
    </xf>
    <xf numFmtId="0" fontId="0" fillId="12" borderId="28" xfId="0" applyFill="1" applyBorder="1" applyAlignment="1">
      <alignment horizontal="center" vertical="center" wrapText="1"/>
    </xf>
    <xf numFmtId="0" fontId="0" fillId="12" borderId="24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0" fillId="10" borderId="30" xfId="0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6" borderId="1" xfId="2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2" fillId="10" borderId="10" xfId="1" applyFill="1" applyBorder="1" applyAlignment="1">
      <alignment horizontal="left" vertical="center"/>
    </xf>
    <xf numFmtId="0" fontId="2" fillId="10" borderId="11" xfId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6" borderId="5" xfId="1" applyFill="1" applyBorder="1" applyAlignment="1">
      <alignment horizontal="left" vertical="center"/>
    </xf>
    <xf numFmtId="0" fontId="2" fillId="6" borderId="1" xfId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2" fillId="5" borderId="5" xfId="1" applyFill="1" applyBorder="1" applyAlignment="1">
      <alignment horizontal="left" vertical="center"/>
    </xf>
    <xf numFmtId="0" fontId="2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</cellXfs>
  <cellStyles count="4">
    <cellStyle name="Hipervínculo" xfId="1" builtinId="8"/>
    <cellStyle name="Hyperlink" xfId="2" xr:uid="{00000000-000B-0000-0000-000008000000}"/>
    <cellStyle name="Normal" xfId="0" builtinId="0"/>
    <cellStyle name="Normal 2" xfId="3" xr:uid="{2C232876-5862-4F1C-8320-E226F8014D48}"/>
  </cellStyles>
  <dxfs count="2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</dxfs>
  <tableStyles count="0" defaultTableStyle="TableStyleMedium2" defaultPivotStyle="PivotStyleLight16"/>
  <colors>
    <mruColors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266700</xdr:colOff>
      <xdr:row>21</xdr:row>
      <xdr:rowOff>85725</xdr:rowOff>
    </xdr:from>
    <xdr:to>
      <xdr:col>15</xdr:col>
      <xdr:colOff>466725</xdr:colOff>
      <xdr:row>40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31ADC1-3D21-EDBB-14F0-C0C4D775C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6700" y="4086225"/>
          <a:ext cx="4010025" cy="3667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DB0D0A1-F6F6-4B81-8F63-F86160B8D07A}" name="Tabla225" displayName="Tabla225" ref="A1:C5" totalsRowShown="0">
  <autoFilter ref="A1:C5" xr:uid="{E1B78555-BB7D-46B9-A0D9-CD2011D52EF6}"/>
  <tableColumns count="3">
    <tableColumn id="1" xr3:uid="{A44255BE-A7C3-4B43-8F4A-89B69E4D9F86}" name="Nombre" dataDxfId="1"/>
    <tableColumn id="7" xr3:uid="{726675FE-6833-4A01-A6EF-C5F6A1168112}" name="Muestreo" dataDxfId="0"/>
    <tableColumn id="2" xr3:uid="{6BE21CF8-D40B-4DA9-98D1-20887D3968FC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:S25"/>
  <sheetViews>
    <sheetView topLeftCell="E23" zoomScale="98" zoomScaleNormal="98" workbookViewId="0">
      <selection activeCell="Q31" sqref="Q31"/>
    </sheetView>
  </sheetViews>
  <sheetFormatPr defaultColWidth="11.42578125" defaultRowHeight="15"/>
  <cols>
    <col min="1" max="16384" width="11.42578125" style="3"/>
  </cols>
  <sheetData>
    <row r="1" spans="1:7">
      <c r="A1"/>
      <c r="G1"/>
    </row>
    <row r="2" spans="1:7">
      <c r="A2"/>
    </row>
    <row r="8" spans="1:7">
      <c r="C8"/>
    </row>
    <row r="18" spans="3:19">
      <c r="C18"/>
      <c r="E18"/>
    </row>
    <row r="25" spans="3:19">
      <c r="F25"/>
      <c r="K25"/>
      <c r="S2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91F8-11C2-417E-9766-693FE54F8D19}">
  <dimension ref="A1:C5"/>
  <sheetViews>
    <sheetView zoomScaleNormal="100" workbookViewId="0">
      <pane ySplit="1" topLeftCell="A2" activePane="bottomLeft" state="frozen"/>
      <selection pane="bottomLeft" activeCell="C9" sqref="C9"/>
    </sheetView>
  </sheetViews>
  <sheetFormatPr defaultColWidth="11.42578125" defaultRowHeight="15"/>
  <cols>
    <col min="1" max="2" width="20.85546875" style="40" customWidth="1"/>
    <col min="3" max="3" width="120.7109375" style="41" customWidth="1"/>
    <col min="4" max="16384" width="11.42578125" style="1"/>
  </cols>
  <sheetData>
    <row r="1" spans="1:3">
      <c r="A1" s="73" t="s">
        <v>0</v>
      </c>
      <c r="B1" s="80" t="s">
        <v>1</v>
      </c>
      <c r="C1" s="74" t="s">
        <v>2</v>
      </c>
    </row>
    <row r="2" spans="1:3" ht="30.75">
      <c r="A2" s="85" t="s">
        <v>3</v>
      </c>
      <c r="B2" s="84" t="s">
        <v>4</v>
      </c>
      <c r="C2" s="77" t="s">
        <v>5</v>
      </c>
    </row>
    <row r="3" spans="1:3">
      <c r="A3" s="85" t="s">
        <v>6</v>
      </c>
      <c r="B3" s="84" t="s">
        <v>4</v>
      </c>
      <c r="C3" s="77" t="s">
        <v>7</v>
      </c>
    </row>
    <row r="4" spans="1:3" ht="30.75">
      <c r="A4" s="47" t="s">
        <v>8</v>
      </c>
      <c r="B4" s="84" t="s">
        <v>4</v>
      </c>
      <c r="C4" s="77" t="s">
        <v>9</v>
      </c>
    </row>
    <row r="5" spans="1:3" ht="14.25" customHeight="1">
      <c r="A5" s="47" t="s">
        <v>10</v>
      </c>
      <c r="B5" s="95" t="s">
        <v>4</v>
      </c>
      <c r="C5" s="96" t="s">
        <v>11</v>
      </c>
    </row>
  </sheetData>
  <hyperlinks>
    <hyperlink ref="A2" location="'Formulario Contacto'!A1" display="Formulario Contacto" xr:uid="{57E70A1B-4B5C-48D0-BBF6-BA3A21313711}"/>
    <hyperlink ref="A3" location="'Producto Web'!A1" display="Producto Web" xr:uid="{758CD613-4B3C-4D36-811D-F91956AAC491}"/>
    <hyperlink ref="B2" location="'Muestreo Formulario Contacto'!A1" display="&lt;&lt;muestreo&gt;&gt;" xr:uid="{17CB429D-DF3A-414D-8E4C-FB4B987A1DC8}"/>
    <hyperlink ref="B3" location="'Muestreo Producto Web'!A1" display="&lt;&lt;muestreo&gt;&gt;" xr:uid="{42F9C3F1-A33E-4E01-A60E-59F7A3C9699F}"/>
    <hyperlink ref="B4" location="'Muestreo Usuario Visitante'!A1" display="&lt;&lt;muestreo&gt;&gt;" xr:uid="{9C8A4B7A-7118-41DA-9765-C99D15067F2D}"/>
    <hyperlink ref="A4" location="'Usuario Visitante'!A1" display="Usuario Visitante" xr:uid="{22BF0CD1-39C9-44E9-BB08-8226C1279F13}"/>
    <hyperlink ref="B5" location="'Muestreo ChatBot'!A1" display="&lt;&lt;muestreo&gt;&gt;" xr:uid="{E6BBDD47-AB4C-45B1-94A4-780550743ADB}"/>
    <hyperlink ref="A5" location="'ChatBot'!A1" display="ChatBot" xr:uid="{AB1AA3F2-3DED-48C3-BA5B-351AEE87F18C}"/>
  </hyperlinks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69DD-42B7-4CEE-B2D4-F4B7910273D1}">
  <sheetPr>
    <tabColor rgb="FFFF0000"/>
  </sheetPr>
  <dimension ref="A1:U19"/>
  <sheetViews>
    <sheetView zoomScale="70" zoomScaleNormal="70" workbookViewId="0">
      <selection activeCell="D12" sqref="D12"/>
    </sheetView>
  </sheetViews>
  <sheetFormatPr defaultColWidth="11.42578125" defaultRowHeight="15"/>
  <cols>
    <col min="1" max="1" width="23.85546875" style="1" bestFit="1" customWidth="1"/>
    <col min="2" max="2" width="51.42578125" style="1" customWidth="1"/>
    <col min="3" max="3" width="31" style="1" customWidth="1"/>
    <col min="4" max="4" width="18.85546875" style="1" bestFit="1" customWidth="1"/>
    <col min="5" max="5" width="11.5703125" style="1" bestFit="1" customWidth="1"/>
    <col min="6" max="6" width="66.42578125" style="1" customWidth="1"/>
    <col min="7" max="7" width="28.5703125" style="1" bestFit="1" customWidth="1"/>
    <col min="8" max="8" width="16.85546875" style="1" bestFit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38.140625" style="1" customWidth="1"/>
    <col min="16" max="16" width="94.42578125" style="1" bestFit="1" customWidth="1"/>
    <col min="17" max="17" width="132.5703125" style="1" bestFit="1" customWidth="1"/>
    <col min="18" max="18" width="67.7109375" style="1" customWidth="1"/>
    <col min="19" max="19" width="52.28515625" style="1" bestFit="1" customWidth="1"/>
    <col min="20" max="16384" width="11.42578125" style="1"/>
  </cols>
  <sheetData>
    <row r="1" spans="1:18">
      <c r="A1" s="106" t="s">
        <v>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8">
      <c r="A2" s="4" t="s">
        <v>13</v>
      </c>
      <c r="B2" s="107" t="str">
        <f>'Listado Objetos de Dominio'!A2</f>
        <v>Formulario Contacto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8" ht="15.75" customHeight="1">
      <c r="A3" s="4" t="s">
        <v>14</v>
      </c>
      <c r="B3" s="107" t="str">
        <f>'Listado Objetos de Dominio'!$C$2</f>
        <v>Esta entidad almacena los datos del formulario de contacto de la página web, como el nombre, correo electrónico, mensaje e información proporcionada por el usuario que quiera ser contactado por un asesor de ventas .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</row>
    <row r="4" spans="1:18">
      <c r="A4" s="8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  <c r="K4" s="9" t="s">
        <v>25</v>
      </c>
      <c r="L4" s="9" t="s">
        <v>26</v>
      </c>
      <c r="M4" s="9" t="s">
        <v>27</v>
      </c>
      <c r="N4" s="9" t="s">
        <v>28</v>
      </c>
      <c r="O4" s="9" t="s">
        <v>29</v>
      </c>
      <c r="P4" s="10" t="s">
        <v>2</v>
      </c>
      <c r="Q4" s="34" t="e">
        <f>#REF!</f>
        <v>#REF!</v>
      </c>
    </row>
    <row r="5" spans="1:18">
      <c r="A5" s="11" t="s">
        <v>30</v>
      </c>
      <c r="B5" s="5" t="s">
        <v>31</v>
      </c>
      <c r="C5" s="5"/>
      <c r="D5" s="5"/>
      <c r="E5" s="5"/>
      <c r="F5" s="5"/>
      <c r="G5" s="5"/>
      <c r="H5" s="5"/>
      <c r="I5" s="5"/>
      <c r="J5" s="7"/>
      <c r="K5" s="12" t="s">
        <v>32</v>
      </c>
      <c r="L5" s="5" t="s">
        <v>33</v>
      </c>
      <c r="M5" s="5" t="s">
        <v>34</v>
      </c>
      <c r="N5" s="5" t="s">
        <v>33</v>
      </c>
      <c r="O5" s="5" t="s">
        <v>34</v>
      </c>
      <c r="P5" s="5" t="s">
        <v>35</v>
      </c>
      <c r="Q5" s="31"/>
    </row>
    <row r="6" spans="1:18">
      <c r="A6" s="11" t="s">
        <v>0</v>
      </c>
      <c r="B6" s="75" t="s">
        <v>36</v>
      </c>
      <c r="C6" s="5"/>
      <c r="D6" s="5"/>
      <c r="E6" s="5"/>
      <c r="F6" s="5"/>
      <c r="G6" s="5"/>
      <c r="H6" s="5"/>
      <c r="I6" s="5"/>
      <c r="J6" s="7"/>
      <c r="K6" s="12" t="s">
        <v>32</v>
      </c>
      <c r="L6" s="5" t="s">
        <v>33</v>
      </c>
      <c r="M6" s="5" t="s">
        <v>34</v>
      </c>
      <c r="N6" s="5" t="s">
        <v>33</v>
      </c>
      <c r="O6" s="5" t="s">
        <v>33</v>
      </c>
      <c r="P6" s="5" t="s">
        <v>37</v>
      </c>
      <c r="Q6" s="31"/>
    </row>
    <row r="7" spans="1:18">
      <c r="A7" s="11" t="s">
        <v>38</v>
      </c>
      <c r="B7" s="75" t="s">
        <v>36</v>
      </c>
      <c r="C7" s="5"/>
      <c r="D7" s="5"/>
      <c r="E7" s="5"/>
      <c r="F7" s="5"/>
      <c r="G7" s="5"/>
      <c r="H7" s="5"/>
      <c r="I7" s="5"/>
      <c r="J7" s="5"/>
      <c r="K7" s="12" t="s">
        <v>32</v>
      </c>
      <c r="L7" s="5" t="s">
        <v>33</v>
      </c>
      <c r="M7" s="5" t="s">
        <v>34</v>
      </c>
      <c r="N7" s="5" t="s">
        <v>33</v>
      </c>
      <c r="O7" s="5" t="s">
        <v>33</v>
      </c>
      <c r="P7" s="5" t="s">
        <v>39</v>
      </c>
      <c r="Q7" s="31"/>
    </row>
    <row r="8" spans="1:18">
      <c r="A8" s="11" t="s">
        <v>40</v>
      </c>
      <c r="B8" s="75" t="s">
        <v>36</v>
      </c>
      <c r="C8" s="5"/>
      <c r="D8" s="5"/>
      <c r="E8" s="5"/>
      <c r="F8" s="5"/>
      <c r="G8" s="5"/>
      <c r="H8" s="5"/>
      <c r="I8" s="5"/>
      <c r="J8" s="5"/>
      <c r="K8" s="12" t="s">
        <v>32</v>
      </c>
      <c r="L8" s="5" t="s">
        <v>33</v>
      </c>
      <c r="M8" s="5" t="s">
        <v>34</v>
      </c>
      <c r="N8" s="5" t="s">
        <v>33</v>
      </c>
      <c r="O8" s="5" t="s">
        <v>33</v>
      </c>
      <c r="P8" s="5" t="s">
        <v>41</v>
      </c>
      <c r="Q8" s="31"/>
    </row>
    <row r="9" spans="1:18">
      <c r="A9" s="11" t="s">
        <v>42</v>
      </c>
      <c r="B9" s="5" t="s">
        <v>43</v>
      </c>
      <c r="C9" s="5"/>
      <c r="D9" s="5"/>
      <c r="E9" s="5"/>
      <c r="F9" s="5"/>
      <c r="G9" s="5"/>
      <c r="H9" s="5" t="s">
        <v>43</v>
      </c>
      <c r="I9" s="5" t="s">
        <v>44</v>
      </c>
      <c r="J9" s="5"/>
      <c r="K9" s="12" t="s">
        <v>32</v>
      </c>
      <c r="L9" s="5" t="s">
        <v>33</v>
      </c>
      <c r="M9" s="5" t="s">
        <v>34</v>
      </c>
      <c r="N9" s="5" t="s">
        <v>33</v>
      </c>
      <c r="O9" s="5" t="s">
        <v>33</v>
      </c>
      <c r="P9" s="5" t="s">
        <v>45</v>
      </c>
      <c r="Q9" s="31"/>
    </row>
    <row r="11" spans="1:18">
      <c r="A11" s="108" t="s">
        <v>46</v>
      </c>
      <c r="B11" s="109"/>
      <c r="C11" s="110"/>
    </row>
    <row r="12" spans="1:18">
      <c r="A12" s="17" t="s">
        <v>47</v>
      </c>
      <c r="B12" s="16" t="s">
        <v>2</v>
      </c>
      <c r="C12" s="18" t="s">
        <v>48</v>
      </c>
    </row>
    <row r="13" spans="1:18" ht="39" customHeight="1">
      <c r="A13" s="14"/>
      <c r="B13" s="46"/>
      <c r="C13" s="39"/>
    </row>
    <row r="15" spans="1:18">
      <c r="A15" s="111" t="s">
        <v>49</v>
      </c>
      <c r="B15" s="112"/>
      <c r="C15" s="112" t="s">
        <v>2</v>
      </c>
      <c r="D15" s="112"/>
      <c r="E15" s="112"/>
      <c r="F15" s="112"/>
      <c r="G15" s="112" t="s">
        <v>50</v>
      </c>
      <c r="H15" s="112"/>
      <c r="I15" s="112"/>
      <c r="J15" s="112" t="s">
        <v>51</v>
      </c>
      <c r="K15" s="112"/>
      <c r="L15" s="112"/>
      <c r="M15" s="112"/>
      <c r="N15" s="112"/>
      <c r="O15" s="112" t="s">
        <v>52</v>
      </c>
      <c r="P15" s="112"/>
      <c r="Q15" s="103" t="s">
        <v>53</v>
      </c>
      <c r="R15" s="104"/>
    </row>
    <row r="16" spans="1:18" ht="14.25" customHeight="1">
      <c r="A16" s="113"/>
      <c r="B16" s="105"/>
      <c r="C16" s="105"/>
      <c r="D16" s="105"/>
      <c r="E16" s="105"/>
      <c r="F16" s="105"/>
      <c r="G16" s="19" t="s">
        <v>54</v>
      </c>
      <c r="H16" s="19" t="s">
        <v>55</v>
      </c>
      <c r="I16" s="19" t="s">
        <v>2</v>
      </c>
      <c r="J16" s="19" t="s">
        <v>16</v>
      </c>
      <c r="K16" s="105" t="s">
        <v>2</v>
      </c>
      <c r="L16" s="105"/>
      <c r="M16" s="105"/>
      <c r="N16" s="105"/>
      <c r="O16" s="19" t="s">
        <v>56</v>
      </c>
      <c r="P16" s="19" t="s">
        <v>2</v>
      </c>
      <c r="Q16" s="19" t="s">
        <v>57</v>
      </c>
      <c r="R16" s="25" t="s">
        <v>58</v>
      </c>
    </row>
    <row r="17" spans="1:21" s="86" customFormat="1">
      <c r="A17" s="97"/>
      <c r="B17" s="98"/>
      <c r="C17" s="97"/>
      <c r="D17" s="99"/>
      <c r="E17" s="99"/>
      <c r="F17" s="98"/>
      <c r="G17" s="87"/>
      <c r="H17" s="88"/>
      <c r="I17" s="89"/>
      <c r="J17" s="90"/>
      <c r="K17" s="100"/>
      <c r="L17" s="101"/>
      <c r="M17" s="101"/>
      <c r="N17" s="102"/>
      <c r="O17" s="91"/>
      <c r="P17" s="92"/>
      <c r="Q17" s="93"/>
      <c r="R17" s="94"/>
      <c r="S17" s="1"/>
      <c r="T17" s="1"/>
      <c r="U17" s="1"/>
    </row>
    <row r="19" spans="1:21">
      <c r="A19" s="81" t="s">
        <v>59</v>
      </c>
    </row>
  </sheetData>
  <mergeCells count="14">
    <mergeCell ref="A1:P1"/>
    <mergeCell ref="B2:P2"/>
    <mergeCell ref="B3:P3"/>
    <mergeCell ref="A11:C11"/>
    <mergeCell ref="A15:B16"/>
    <mergeCell ref="C15:F16"/>
    <mergeCell ref="G15:I15"/>
    <mergeCell ref="J15:N15"/>
    <mergeCell ref="O15:P15"/>
    <mergeCell ref="A17:B17"/>
    <mergeCell ref="C17:F17"/>
    <mergeCell ref="K17:N17"/>
    <mergeCell ref="Q15:R15"/>
    <mergeCell ref="K16:N16"/>
  </mergeCells>
  <hyperlinks>
    <hyperlink ref="A1" location="'Objetos de Dominio'!A1" display="Volver al inicio" xr:uid="{7B461AC5-3A7D-42B7-B27D-9CD5B4F5885C}"/>
    <hyperlink ref="Q4" location="'Objeto Dominio N'!A16" display="'Objeto Dominio N'!A16" xr:uid="{43C78B9E-BB58-4FB6-AC61-543542997B2C}"/>
    <hyperlink ref="A1:P1" location="'Listado Objetos de Dominio'!A1" display="&lt;-Volver al inicio" xr:uid="{608DCB42-755C-4296-8F1E-737E80435DDE}"/>
    <hyperlink ref="A19" location="'Muestreo Reporte'!A1" display="&lt;&lt;Muestreo de datos&gt;&gt;" xr:uid="{86A77400-FF24-43CC-B139-90B6A537A222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AC03-DD6C-4B14-9BF3-D005008043E2}">
  <sheetPr>
    <tabColor rgb="FFFF0000"/>
  </sheetPr>
  <dimension ref="A1:P1"/>
  <sheetViews>
    <sheetView workbookViewId="0">
      <selection activeCell="C12" sqref="C12"/>
    </sheetView>
  </sheetViews>
  <sheetFormatPr defaultColWidth="9.140625" defaultRowHeight="15"/>
  <cols>
    <col min="7" max="7" width="30.7109375" bestFit="1" customWidth="1"/>
    <col min="8" max="8" width="21.140625" bestFit="1" customWidth="1"/>
    <col min="9" max="9" width="22.85546875" bestFit="1" customWidth="1"/>
    <col min="10" max="10" width="15.140625" bestFit="1" customWidth="1"/>
    <col min="11" max="11" width="21.140625" bestFit="1" customWidth="1"/>
  </cols>
  <sheetData>
    <row r="1" spans="1:16">
      <c r="A1" s="106" t="s">
        <v>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</sheetData>
  <mergeCells count="1">
    <mergeCell ref="A1:P1"/>
  </mergeCells>
  <hyperlinks>
    <hyperlink ref="A1" location="'Objetos de Dominio'!A1" display="Volver al inicio" xr:uid="{FA0E0301-E563-4C9F-8214-DBACC171ADD2}"/>
    <hyperlink ref="A1:P1" location="'Listado Objetos de Dominio'!A1" display="&lt;-Volver al inicio" xr:uid="{78DDB204-426D-47E7-8C7D-51E713678B2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5CFB-D41F-4B34-BB06-72678278A450}">
  <sheetPr>
    <tabColor rgb="FFFFFF00"/>
  </sheetPr>
  <dimension ref="A1:T22"/>
  <sheetViews>
    <sheetView zoomScale="96" zoomScaleNormal="96" workbookViewId="0">
      <selection activeCell="A6" sqref="A6"/>
    </sheetView>
  </sheetViews>
  <sheetFormatPr defaultColWidth="11.42578125" defaultRowHeight="15"/>
  <cols>
    <col min="1" max="1" width="34.5703125" style="1" customWidth="1"/>
    <col min="2" max="2" width="26" style="1" customWidth="1"/>
    <col min="3" max="3" width="32.7109375" style="1" customWidth="1"/>
    <col min="4" max="4" width="18.85546875" style="1" bestFit="1" customWidth="1"/>
    <col min="5" max="5" width="11.5703125" style="1" bestFit="1" customWidth="1"/>
    <col min="6" max="6" width="37" style="1" customWidth="1"/>
    <col min="7" max="7" width="28.5703125" style="1" bestFit="1" customWidth="1"/>
    <col min="8" max="8" width="23.5703125" style="1" customWidth="1"/>
    <col min="9" max="9" width="79.28515625" style="1" bestFit="1" customWidth="1"/>
    <col min="10" max="10" width="43.42578125" style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49" style="1" customWidth="1"/>
    <col min="16" max="16" width="94.42578125" style="1" bestFit="1" customWidth="1"/>
    <col min="17" max="17" width="132.5703125" style="1" bestFit="1" customWidth="1"/>
    <col min="18" max="18" width="67.85546875" style="1" customWidth="1"/>
    <col min="19" max="19" width="50.140625" style="1" bestFit="1" customWidth="1"/>
    <col min="20" max="20" width="66.85546875" style="1" bestFit="1" customWidth="1"/>
    <col min="21" max="21" width="52.28515625" style="1" bestFit="1" customWidth="1"/>
    <col min="22" max="16384" width="11.42578125" style="1"/>
  </cols>
  <sheetData>
    <row r="1" spans="1:20">
      <c r="A1" s="106" t="s">
        <v>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20">
      <c r="A2" s="4" t="s">
        <v>13</v>
      </c>
      <c r="B2" s="125" t="str">
        <f>'Listado Objetos de Dominio'!A4</f>
        <v>Usuario Visitante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1:20">
      <c r="A3" s="4" t="s">
        <v>14</v>
      </c>
      <c r="B3" s="126" t="str">
        <f>'Listado Objetos de Dominio'!$C$4</f>
        <v>Esta entidad contiene información sobre los usuarios que interactúan con la página web de manera anónima, sin necesidad de autenticación o registro.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</row>
    <row r="4" spans="1:20">
      <c r="A4" s="8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  <c r="K4" s="9" t="s">
        <v>25</v>
      </c>
      <c r="L4" s="9" t="s">
        <v>26</v>
      </c>
      <c r="M4" s="9" t="s">
        <v>27</v>
      </c>
      <c r="N4" s="9" t="s">
        <v>28</v>
      </c>
      <c r="O4" s="9" t="s">
        <v>29</v>
      </c>
      <c r="P4" s="10" t="s">
        <v>2</v>
      </c>
      <c r="Q4" s="34" t="e">
        <f>#REF!</f>
        <v>#REF!</v>
      </c>
      <c r="R4" s="32" t="e">
        <f>#REF!</f>
        <v>#REF!</v>
      </c>
      <c r="S4" s="33">
        <f>A18</f>
        <v>0</v>
      </c>
      <c r="T4" s="2">
        <f>A19</f>
        <v>0</v>
      </c>
    </row>
    <row r="5" spans="1:20">
      <c r="A5" s="11" t="s">
        <v>60</v>
      </c>
      <c r="B5" s="7"/>
      <c r="C5" s="5"/>
      <c r="D5" s="5"/>
      <c r="E5" s="5"/>
      <c r="F5" s="5"/>
      <c r="G5" s="5"/>
      <c r="H5" s="5"/>
      <c r="I5" s="5"/>
      <c r="J5" s="13"/>
      <c r="K5" s="12"/>
      <c r="L5" s="5"/>
      <c r="M5" s="5"/>
      <c r="N5" s="5"/>
      <c r="O5" s="5"/>
      <c r="P5" s="7"/>
      <c r="Q5" s="50"/>
      <c r="R5" s="51"/>
      <c r="S5" s="68"/>
      <c r="T5" s="69"/>
    </row>
    <row r="6" spans="1:20">
      <c r="A6" s="11"/>
      <c r="B6" s="5"/>
      <c r="C6" s="5"/>
      <c r="D6" s="5"/>
      <c r="E6" s="5"/>
      <c r="F6" s="5"/>
      <c r="G6" s="5"/>
      <c r="H6" s="5"/>
      <c r="I6" s="5"/>
      <c r="J6" s="13"/>
      <c r="K6" s="12"/>
      <c r="L6" s="5"/>
      <c r="M6" s="5"/>
      <c r="N6" s="5"/>
      <c r="O6" s="5"/>
      <c r="P6" s="7"/>
      <c r="Q6" s="50"/>
      <c r="R6" s="51"/>
      <c r="S6" s="68"/>
      <c r="T6" s="69"/>
    </row>
    <row r="7" spans="1:20">
      <c r="A7" s="11"/>
      <c r="B7" s="7"/>
      <c r="C7" s="5"/>
      <c r="D7" s="55"/>
      <c r="E7" s="5"/>
      <c r="F7" s="5"/>
      <c r="G7" s="5"/>
      <c r="H7" s="5"/>
      <c r="I7" s="5"/>
      <c r="J7" s="13"/>
      <c r="K7" s="12"/>
      <c r="L7" s="5"/>
      <c r="M7" s="5"/>
      <c r="N7" s="5"/>
      <c r="O7" s="5"/>
      <c r="P7" s="7"/>
      <c r="Q7" s="50"/>
      <c r="R7" s="51"/>
      <c r="S7" s="68"/>
      <c r="T7" s="69"/>
    </row>
    <row r="8" spans="1:20">
      <c r="A8" s="11"/>
      <c r="B8" s="7"/>
      <c r="C8" s="5"/>
      <c r="D8" s="55"/>
      <c r="E8" s="5"/>
      <c r="F8" s="5"/>
      <c r="G8" s="5"/>
      <c r="H8" s="5"/>
      <c r="I8" s="5"/>
      <c r="J8" s="6"/>
      <c r="K8" s="12"/>
      <c r="L8" s="5"/>
      <c r="M8" s="5"/>
      <c r="N8" s="5"/>
      <c r="O8" s="5"/>
      <c r="P8" s="7"/>
      <c r="Q8" s="50"/>
      <c r="R8" s="51"/>
      <c r="S8" s="68"/>
      <c r="T8" s="69"/>
    </row>
    <row r="9" spans="1:20">
      <c r="A9" s="11"/>
      <c r="B9" s="45"/>
      <c r="C9" s="5"/>
      <c r="D9" s="5"/>
      <c r="E9" s="5"/>
      <c r="F9" s="5"/>
      <c r="G9" s="5"/>
      <c r="H9" s="54"/>
      <c r="I9" s="5"/>
      <c r="J9" s="6"/>
      <c r="K9" s="12"/>
      <c r="L9" s="5"/>
      <c r="M9" s="5"/>
      <c r="N9" s="5"/>
      <c r="O9" s="5"/>
      <c r="P9" s="7"/>
      <c r="Q9" s="50"/>
      <c r="R9" s="51"/>
      <c r="S9" s="68"/>
      <c r="T9" s="69"/>
    </row>
    <row r="10" spans="1:20">
      <c r="A10" s="11"/>
      <c r="B10" s="5"/>
      <c r="C10" s="5"/>
      <c r="D10" s="5"/>
      <c r="E10" s="5"/>
      <c r="F10" s="5"/>
      <c r="G10" s="5"/>
      <c r="H10" s="54"/>
      <c r="I10" s="5"/>
      <c r="J10" s="6"/>
      <c r="K10" s="12"/>
      <c r="L10" s="5"/>
      <c r="M10" s="5"/>
      <c r="N10" s="5"/>
      <c r="O10" s="5"/>
      <c r="P10" s="7"/>
      <c r="Q10" s="50"/>
      <c r="R10" s="51"/>
      <c r="S10" s="68"/>
      <c r="T10" s="69"/>
    </row>
    <row r="12" spans="1:20">
      <c r="A12" s="108" t="s">
        <v>46</v>
      </c>
      <c r="B12" s="109"/>
      <c r="C12" s="110"/>
    </row>
    <row r="13" spans="1:20">
      <c r="A13" s="17" t="s">
        <v>47</v>
      </c>
      <c r="B13" s="16" t="s">
        <v>2</v>
      </c>
      <c r="C13" s="18" t="s">
        <v>48</v>
      </c>
    </row>
    <row r="14" spans="1:20" ht="39" customHeight="1">
      <c r="A14" s="14"/>
      <c r="B14" s="15"/>
      <c r="C14" s="56"/>
    </row>
    <row r="16" spans="1:20">
      <c r="A16" s="111" t="s">
        <v>49</v>
      </c>
      <c r="B16" s="112"/>
      <c r="C16" s="112" t="s">
        <v>2</v>
      </c>
      <c r="D16" s="112"/>
      <c r="E16" s="112"/>
      <c r="F16" s="112"/>
      <c r="G16" s="112" t="s">
        <v>50</v>
      </c>
      <c r="H16" s="112"/>
      <c r="I16" s="112"/>
      <c r="J16" s="112" t="s">
        <v>51</v>
      </c>
      <c r="K16" s="112"/>
      <c r="L16" s="112"/>
      <c r="M16" s="112"/>
      <c r="N16" s="112"/>
      <c r="O16" s="112" t="s">
        <v>52</v>
      </c>
      <c r="P16" s="112"/>
      <c r="Q16" s="112" t="s">
        <v>53</v>
      </c>
      <c r="R16" s="124"/>
    </row>
    <row r="17" spans="1:18">
      <c r="A17" s="113"/>
      <c r="B17" s="105"/>
      <c r="C17" s="105"/>
      <c r="D17" s="105"/>
      <c r="E17" s="105"/>
      <c r="F17" s="105"/>
      <c r="G17" s="19" t="s">
        <v>54</v>
      </c>
      <c r="H17" s="19" t="s">
        <v>55</v>
      </c>
      <c r="I17" s="19" t="s">
        <v>2</v>
      </c>
      <c r="J17" s="19" t="s">
        <v>16</v>
      </c>
      <c r="K17" s="105" t="s">
        <v>2</v>
      </c>
      <c r="L17" s="105"/>
      <c r="M17" s="105"/>
      <c r="N17" s="105"/>
      <c r="O17" s="19" t="s">
        <v>56</v>
      </c>
      <c r="P17" s="19" t="s">
        <v>2</v>
      </c>
      <c r="Q17" s="19" t="s">
        <v>57</v>
      </c>
      <c r="R17" s="25" t="s">
        <v>58</v>
      </c>
    </row>
    <row r="18" spans="1:18" ht="15" customHeight="1">
      <c r="A18" s="120"/>
      <c r="B18" s="121"/>
      <c r="C18" s="122"/>
      <c r="D18" s="122"/>
      <c r="E18" s="122"/>
      <c r="F18" s="122"/>
      <c r="G18" s="65"/>
      <c r="H18" s="58"/>
      <c r="I18" s="67"/>
      <c r="J18" s="66"/>
      <c r="K18" s="123"/>
      <c r="L18" s="123"/>
      <c r="M18" s="123"/>
      <c r="N18" s="123"/>
      <c r="O18" s="57"/>
      <c r="P18" s="70"/>
      <c r="Q18" s="72"/>
      <c r="R18" s="66"/>
    </row>
    <row r="19" spans="1:18" ht="15" customHeight="1">
      <c r="A19" s="114"/>
      <c r="B19" s="115"/>
      <c r="C19" s="114"/>
      <c r="D19" s="116"/>
      <c r="E19" s="116"/>
      <c r="F19" s="115"/>
      <c r="G19" s="59"/>
      <c r="H19" s="60"/>
      <c r="I19" s="61"/>
      <c r="J19" s="83"/>
      <c r="K19" s="117"/>
      <c r="L19" s="118"/>
      <c r="M19" s="118"/>
      <c r="N19" s="119"/>
      <c r="O19" s="62"/>
      <c r="P19" s="63"/>
      <c r="Q19" s="71"/>
      <c r="R19" s="64"/>
    </row>
    <row r="22" spans="1:18">
      <c r="A22" s="81" t="s">
        <v>59</v>
      </c>
    </row>
  </sheetData>
  <mergeCells count="17">
    <mergeCell ref="Q16:R16"/>
    <mergeCell ref="K17:N17"/>
    <mergeCell ref="A1:P1"/>
    <mergeCell ref="B2:P2"/>
    <mergeCell ref="B3:P3"/>
    <mergeCell ref="A12:C12"/>
    <mergeCell ref="A16:B17"/>
    <mergeCell ref="C16:F17"/>
    <mergeCell ref="G16:I16"/>
    <mergeCell ref="J16:N16"/>
    <mergeCell ref="O16:P16"/>
    <mergeCell ref="A19:B19"/>
    <mergeCell ref="C19:F19"/>
    <mergeCell ref="K19:N19"/>
    <mergeCell ref="A18:B18"/>
    <mergeCell ref="C18:F18"/>
    <mergeCell ref="K18:N18"/>
  </mergeCells>
  <hyperlinks>
    <hyperlink ref="A1" location="'Objetos de Dominio'!A1" display="Volver al inicio" xr:uid="{736B5B5C-ED81-4592-959C-43A6AE135ED4}"/>
    <hyperlink ref="R4" location="'Objeto Dominio 2'!A17" display="'Objeto Dominio 2'!A17" xr:uid="{D78E60B5-751A-4BDE-8803-E81366BB48BE}"/>
    <hyperlink ref="S4" location="'Objeto Dominio 2'!A18" display="'Objeto Dominio 2'!A18" xr:uid="{73E6BC51-26E2-473B-A289-98D931EBC5D7}"/>
    <hyperlink ref="T4" location="'Objeto Dominio 2'!A19" display="'Objeto Dominio 2'!A19" xr:uid="{31310FDD-E054-4A5A-B4AD-F48F11067D87}"/>
    <hyperlink ref="Q4" location="'Objeto Dominio 2'!A16" display="'Objeto Dominio 2'!A16" xr:uid="{359FD1F4-4F89-419B-978F-CE06204BB65F}"/>
    <hyperlink ref="A1:P1" location="'Listado Objetos de Dominio'!A1" display="&lt;-Volver al inicio" xr:uid="{BA888B55-796B-4DC3-A30C-58A8D5B69238}"/>
    <hyperlink ref="A22" location="'Muestreo Proveedor'!A1" display="&lt;&lt;Muestreo de datos&gt;&gt;" xr:uid="{71085C1F-1B8D-470F-B8ED-EE2C3864D789}"/>
    <hyperlink ref="B2:P2" location="'Usuario Visitante'!A5" display="Usuario Visitante" xr:uid="{90DF7F50-C915-4569-B06B-3E0BEE260976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901E-70FC-4E73-917F-920CDFEB45F6}">
  <sheetPr>
    <tabColor rgb="FFFFFF00"/>
  </sheetPr>
  <dimension ref="A1:P1"/>
  <sheetViews>
    <sheetView workbookViewId="0"/>
  </sheetViews>
  <sheetFormatPr defaultColWidth="9.140625" defaultRowHeight="15"/>
  <cols>
    <col min="4" max="4" width="23.28515625" customWidth="1"/>
    <col min="5" max="5" width="17.7109375" customWidth="1"/>
    <col min="6" max="6" width="24.5703125" customWidth="1"/>
    <col min="7" max="7" width="20.7109375" customWidth="1"/>
    <col min="8" max="8" width="23.5703125" customWidth="1"/>
    <col min="9" max="9" width="24.28515625" bestFit="1" customWidth="1"/>
    <col min="10" max="10" width="26.140625" customWidth="1"/>
    <col min="11" max="11" width="15.28515625" customWidth="1"/>
    <col min="12" max="12" width="21.5703125" bestFit="1" customWidth="1"/>
    <col min="14" max="14" width="20.85546875" customWidth="1"/>
  </cols>
  <sheetData>
    <row r="1" spans="1:16">
      <c r="A1" s="106" t="s">
        <v>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</sheetData>
  <mergeCells count="1">
    <mergeCell ref="A1:P1"/>
  </mergeCells>
  <hyperlinks>
    <hyperlink ref="A1" location="'Objetos de Dominio'!A1" display="Volver al inicio" xr:uid="{CB224F62-63EF-4A43-A404-AC7807C207EB}"/>
    <hyperlink ref="A1:P1" location="'Listado Objetos de Dominio'!A1" display="&lt;-Volver al inicio" xr:uid="{822592CE-5C90-4947-865A-F254CD8CD0C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3532-6970-4596-A8AB-4AC086447EA3}">
  <sheetPr>
    <tabColor theme="8" tint="0.39997558519241921"/>
  </sheetPr>
  <dimension ref="A1:S38"/>
  <sheetViews>
    <sheetView tabSelected="1" zoomScaleNormal="100" workbookViewId="0">
      <selection activeCell="A5" sqref="A5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16.85546875" style="1" bestFit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42.42578125" style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0.140625" style="1" bestFit="1" customWidth="1"/>
    <col min="20" max="20" width="52.28515625" style="1" bestFit="1" customWidth="1"/>
    <col min="21" max="16384" width="11.42578125" style="1"/>
  </cols>
  <sheetData>
    <row r="1" spans="1:19">
      <c r="A1" s="106" t="s">
        <v>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9">
      <c r="A2" s="4" t="s">
        <v>13</v>
      </c>
      <c r="B2" s="107" t="str">
        <f>'Listado Objetos de Dominio'!A3</f>
        <v>Producto Web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9" ht="15.75" customHeight="1" thickBot="1">
      <c r="A3" s="4" t="s">
        <v>14</v>
      </c>
      <c r="B3" s="126" t="str">
        <f>'Listado Objetos de Dominio'!$C$3</f>
        <v>Esta entidad contiene los detalles de los productos disponibles en el sitio web, tales como nombre, descripción, Categoria,imagen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</row>
    <row r="4" spans="1:19">
      <c r="A4" s="8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  <c r="K4" s="9" t="s">
        <v>25</v>
      </c>
      <c r="L4" s="9" t="s">
        <v>26</v>
      </c>
      <c r="M4" s="9" t="s">
        <v>27</v>
      </c>
      <c r="N4" s="9" t="s">
        <v>28</v>
      </c>
      <c r="O4" s="9" t="s">
        <v>29</v>
      </c>
      <c r="P4" s="10" t="s">
        <v>2</v>
      </c>
      <c r="Q4" s="34">
        <f>A19</f>
        <v>0</v>
      </c>
      <c r="R4" s="32">
        <f>A20</f>
        <v>0</v>
      </c>
      <c r="S4" s="33">
        <f>A21</f>
        <v>0</v>
      </c>
    </row>
    <row r="5" spans="1:19">
      <c r="A5" s="11"/>
      <c r="B5" s="5"/>
      <c r="C5" s="5"/>
      <c r="D5" s="5"/>
      <c r="E5" s="5"/>
      <c r="F5" s="5"/>
      <c r="G5" s="5"/>
      <c r="H5" s="5"/>
      <c r="I5" s="42"/>
      <c r="J5" s="7"/>
      <c r="K5" s="12"/>
      <c r="L5" s="5"/>
      <c r="M5" s="5"/>
      <c r="N5" s="5"/>
      <c r="O5" s="5"/>
      <c r="P5" s="7"/>
      <c r="Q5" s="31"/>
      <c r="R5" s="23"/>
      <c r="S5" s="28"/>
    </row>
    <row r="6" spans="1:19">
      <c r="A6" s="11"/>
      <c r="B6" s="5"/>
      <c r="C6" s="5"/>
      <c r="D6" s="5"/>
      <c r="E6" s="5"/>
      <c r="F6" s="5"/>
      <c r="G6" s="5"/>
      <c r="H6" s="5"/>
      <c r="I6" s="42"/>
      <c r="J6" s="7"/>
      <c r="K6" s="12"/>
      <c r="L6" s="5"/>
      <c r="M6" s="5"/>
      <c r="N6" s="5"/>
      <c r="O6" s="5"/>
      <c r="P6" s="7"/>
      <c r="Q6" s="31"/>
      <c r="R6" s="23"/>
      <c r="S6" s="28"/>
    </row>
    <row r="7" spans="1:19">
      <c r="A7" s="11"/>
      <c r="B7" s="5"/>
      <c r="C7" s="5"/>
      <c r="D7" s="5"/>
      <c r="E7" s="5"/>
      <c r="F7" s="5"/>
      <c r="G7" s="5"/>
      <c r="H7" s="5"/>
      <c r="I7" s="42"/>
      <c r="J7" s="5"/>
      <c r="K7" s="5"/>
      <c r="L7" s="5"/>
      <c r="M7" s="5"/>
      <c r="N7" s="5"/>
      <c r="O7" s="5"/>
      <c r="P7" s="7"/>
      <c r="Q7" s="31"/>
      <c r="R7" s="23"/>
      <c r="S7" s="28"/>
    </row>
    <row r="8" spans="1:19">
      <c r="A8" s="11"/>
      <c r="B8" s="5"/>
      <c r="C8" s="5"/>
      <c r="D8" s="5"/>
      <c r="E8" s="5"/>
      <c r="F8" s="5"/>
      <c r="G8" s="5"/>
      <c r="H8" s="5"/>
      <c r="I8" s="42"/>
      <c r="J8" s="5"/>
      <c r="K8" s="5"/>
      <c r="L8" s="5"/>
      <c r="M8" s="5"/>
      <c r="N8" s="5"/>
      <c r="O8" s="5"/>
      <c r="P8" s="7"/>
      <c r="Q8" s="31"/>
      <c r="R8" s="23"/>
      <c r="S8" s="28"/>
    </row>
    <row r="9" spans="1:19">
      <c r="A9" s="11"/>
      <c r="B9" s="5"/>
      <c r="C9" s="5"/>
      <c r="D9" s="5"/>
      <c r="E9" s="5"/>
      <c r="F9" s="5"/>
      <c r="G9" s="5"/>
      <c r="H9" s="5"/>
      <c r="I9" s="42"/>
      <c r="J9" s="5"/>
      <c r="K9" s="5"/>
      <c r="L9" s="5"/>
      <c r="M9" s="5"/>
      <c r="N9" s="5"/>
      <c r="O9" s="5"/>
      <c r="P9" s="7"/>
      <c r="Q9" s="31"/>
      <c r="R9" s="23"/>
      <c r="S9" s="28"/>
    </row>
    <row r="10" spans="1:19">
      <c r="A10" s="11"/>
      <c r="B10" s="5"/>
      <c r="C10" s="5"/>
      <c r="D10" s="5"/>
      <c r="E10" s="5"/>
      <c r="F10" s="5"/>
      <c r="G10" s="5"/>
      <c r="H10" s="5"/>
      <c r="I10" s="42"/>
      <c r="J10" s="5"/>
      <c r="K10" s="5"/>
      <c r="L10" s="5"/>
      <c r="M10" s="5"/>
      <c r="N10" s="5"/>
      <c r="O10" s="5"/>
      <c r="P10" s="7"/>
      <c r="Q10" s="31"/>
      <c r="R10" s="23"/>
      <c r="S10" s="28"/>
    </row>
    <row r="11" spans="1:19">
      <c r="A11" s="11"/>
      <c r="B11" s="5"/>
      <c r="C11" s="5"/>
      <c r="D11" s="5"/>
      <c r="E11" s="5"/>
      <c r="F11" s="5"/>
      <c r="G11" s="5"/>
      <c r="H11" s="5"/>
      <c r="I11" s="42"/>
      <c r="J11" s="5"/>
      <c r="K11" s="5"/>
      <c r="L11" s="5"/>
      <c r="M11" s="5"/>
      <c r="N11" s="5"/>
      <c r="O11" s="5"/>
      <c r="P11" s="7"/>
      <c r="Q11" s="31"/>
      <c r="R11" s="23"/>
      <c r="S11" s="28"/>
    </row>
    <row r="13" spans="1:19">
      <c r="A13" s="108" t="s">
        <v>46</v>
      </c>
      <c r="B13" s="109"/>
      <c r="C13" s="110"/>
    </row>
    <row r="14" spans="1:19">
      <c r="A14" s="17" t="s">
        <v>47</v>
      </c>
      <c r="B14" s="16" t="s">
        <v>2</v>
      </c>
      <c r="C14" s="18" t="s">
        <v>48</v>
      </c>
    </row>
    <row r="15" spans="1:19" ht="39" customHeight="1" thickBot="1">
      <c r="A15" s="14"/>
      <c r="B15" s="15"/>
      <c r="C15" s="39"/>
    </row>
    <row r="17" spans="1:18">
      <c r="A17" s="111" t="s">
        <v>49</v>
      </c>
      <c r="B17" s="112"/>
      <c r="C17" s="112" t="s">
        <v>2</v>
      </c>
      <c r="D17" s="112"/>
      <c r="E17" s="112"/>
      <c r="F17" s="112"/>
      <c r="G17" s="112" t="s">
        <v>50</v>
      </c>
      <c r="H17" s="112"/>
      <c r="I17" s="112"/>
      <c r="J17" s="112" t="s">
        <v>51</v>
      </c>
      <c r="K17" s="112"/>
      <c r="L17" s="112"/>
      <c r="M17" s="112"/>
      <c r="N17" s="112"/>
      <c r="O17" s="112" t="s">
        <v>52</v>
      </c>
      <c r="P17" s="112"/>
      <c r="Q17" s="112" t="s">
        <v>53</v>
      </c>
      <c r="R17" s="124"/>
    </row>
    <row r="18" spans="1:18">
      <c r="A18" s="113"/>
      <c r="B18" s="105"/>
      <c r="C18" s="105"/>
      <c r="D18" s="105"/>
      <c r="E18" s="105"/>
      <c r="F18" s="105"/>
      <c r="G18" s="19" t="s">
        <v>54</v>
      </c>
      <c r="H18" s="19" t="s">
        <v>55</v>
      </c>
      <c r="I18" s="19" t="s">
        <v>2</v>
      </c>
      <c r="J18" s="19" t="s">
        <v>16</v>
      </c>
      <c r="K18" s="105" t="s">
        <v>2</v>
      </c>
      <c r="L18" s="105"/>
      <c r="M18" s="105"/>
      <c r="N18" s="105"/>
      <c r="O18" s="19" t="s">
        <v>56</v>
      </c>
      <c r="P18" s="19" t="s">
        <v>2</v>
      </c>
      <c r="Q18" s="19" t="s">
        <v>57</v>
      </c>
      <c r="R18" s="25" t="s">
        <v>58</v>
      </c>
    </row>
    <row r="19" spans="1:18">
      <c r="A19" s="131"/>
      <c r="B19" s="132"/>
      <c r="C19" s="133"/>
      <c r="D19" s="133"/>
      <c r="E19" s="133"/>
      <c r="F19" s="133"/>
      <c r="G19" s="22"/>
      <c r="H19" s="53"/>
      <c r="I19" s="22"/>
      <c r="J19" s="21"/>
      <c r="K19" s="133"/>
      <c r="L19" s="133"/>
      <c r="M19" s="133"/>
      <c r="N19" s="133"/>
      <c r="O19" s="22"/>
      <c r="P19" s="20"/>
      <c r="Q19" s="20"/>
      <c r="R19" s="26"/>
    </row>
    <row r="20" spans="1:18">
      <c r="A20" s="134"/>
      <c r="B20" s="135"/>
      <c r="C20" s="136"/>
      <c r="D20" s="136"/>
      <c r="E20" s="136"/>
      <c r="F20" s="136"/>
      <c r="G20" s="38"/>
      <c r="H20" s="78"/>
      <c r="I20" s="38"/>
      <c r="J20" s="35"/>
      <c r="K20" s="137"/>
      <c r="L20" s="137"/>
      <c r="M20" s="137"/>
      <c r="N20" s="137"/>
      <c r="O20" s="23"/>
      <c r="P20" s="24"/>
      <c r="Q20" s="24"/>
      <c r="R20" s="27"/>
    </row>
    <row r="21" spans="1:18">
      <c r="A21" s="127"/>
      <c r="B21" s="128"/>
      <c r="C21" s="129"/>
      <c r="D21" s="129"/>
      <c r="E21" s="129"/>
      <c r="F21" s="129"/>
      <c r="G21" s="36"/>
      <c r="H21" s="79"/>
      <c r="I21" s="36"/>
      <c r="J21" s="37"/>
      <c r="K21" s="130"/>
      <c r="L21" s="130"/>
      <c r="M21" s="130"/>
      <c r="N21" s="130"/>
      <c r="O21" s="28"/>
      <c r="P21" s="29"/>
      <c r="Q21" s="29"/>
      <c r="R21" s="30"/>
    </row>
    <row r="24" spans="1:18">
      <c r="A24" s="82" t="s">
        <v>59</v>
      </c>
    </row>
    <row r="26" spans="1:18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</row>
    <row r="27" spans="1:18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</row>
    <row r="28" spans="1:1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</row>
    <row r="29" spans="1:18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</row>
    <row r="30" spans="1:18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</row>
    <row r="31" spans="1:18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</row>
    <row r="32" spans="1:18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</row>
    <row r="33" spans="1:1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</row>
    <row r="34" spans="1:1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</row>
    <row r="35" spans="1:1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</row>
    <row r="36" spans="1:1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</row>
    <row r="37" spans="1:1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</row>
    <row r="38" spans="1:1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</row>
  </sheetData>
  <mergeCells count="20">
    <mergeCell ref="A1:P1"/>
    <mergeCell ref="B2:P2"/>
    <mergeCell ref="B3:P3"/>
    <mergeCell ref="A13:C13"/>
    <mergeCell ref="A17:B18"/>
    <mergeCell ref="C17:F18"/>
    <mergeCell ref="G17:I17"/>
    <mergeCell ref="J17:N17"/>
    <mergeCell ref="O17:P17"/>
    <mergeCell ref="A21:B21"/>
    <mergeCell ref="C21:F21"/>
    <mergeCell ref="K21:N21"/>
    <mergeCell ref="Q17:R17"/>
    <mergeCell ref="K18:N18"/>
    <mergeCell ref="A19:B19"/>
    <mergeCell ref="C19:F19"/>
    <mergeCell ref="K19:N19"/>
    <mergeCell ref="A20:B20"/>
    <mergeCell ref="C20:F20"/>
    <mergeCell ref="K20:N20"/>
  </mergeCells>
  <hyperlinks>
    <hyperlink ref="A1" location="'Objetos de Dominio'!A1" display="Volver al inicio" xr:uid="{66AFA5DB-440E-4454-BC26-49AB64A134E8}"/>
    <hyperlink ref="R4" location="'Objeto Dominio N'!A17" display="'Objeto Dominio N'!A17" xr:uid="{B1F846E2-7D2F-45E3-9319-06D17E677E46}"/>
    <hyperlink ref="S4" location="'Objeto Dominio N'!A18" display="'Objeto Dominio N'!A18" xr:uid="{08A1F518-1FB5-4D3D-8689-929F159FBC1E}"/>
    <hyperlink ref="Q4" location="'Objeto Dominio N'!A16" display="'Objeto Dominio N'!A16" xr:uid="{3ED79DF8-BC1C-4B1B-A714-701E3BE2AD1F}"/>
    <hyperlink ref="A1:P1" location="'Listado Objetos de Dominio'!A1" display="&lt;-Volver al inicio" xr:uid="{C6F04C55-3EF0-4703-8CF6-0A4BF13A2290}"/>
    <hyperlink ref="A24" location="'Muestreo Abastecimiento'!A1" display="&lt;&lt;Muestreo de datos&gt;&gt;" xr:uid="{086A7F3E-A258-46CC-8257-7C0A82D21ACF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398D-4205-453B-BD0D-4F8D00BC8456}">
  <sheetPr>
    <tabColor theme="8" tint="0.39997558519241921"/>
  </sheetPr>
  <dimension ref="A1:P1"/>
  <sheetViews>
    <sheetView workbookViewId="0"/>
  </sheetViews>
  <sheetFormatPr defaultColWidth="9.140625" defaultRowHeight="15"/>
  <cols>
    <col min="1" max="1" width="34.7109375" customWidth="1"/>
    <col min="2" max="2" width="34" customWidth="1"/>
    <col min="3" max="3" width="31.42578125" customWidth="1"/>
    <col min="4" max="4" width="20" customWidth="1"/>
    <col min="5" max="5" width="25.28515625" customWidth="1"/>
    <col min="6" max="6" width="12.85546875" customWidth="1"/>
    <col min="7" max="7" width="21.85546875" customWidth="1"/>
  </cols>
  <sheetData>
    <row r="1" spans="1:16">
      <c r="A1" s="106" t="s">
        <v>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</sheetData>
  <mergeCells count="1">
    <mergeCell ref="A1:P1"/>
  </mergeCells>
  <hyperlinks>
    <hyperlink ref="A1" location="'Objetos de Dominio'!A1" display="Volver al inicio" xr:uid="{86A6196A-618C-471E-8ACB-0F1B882489A6}"/>
    <hyperlink ref="A1:P1" location="'Listado Objetos de Dominio'!A1" display="&lt;-Volver al inicio" xr:uid="{2E35C6C6-B753-447B-85DE-BA7E1B38B8B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764D-F493-4F07-8FC5-A899F0255751}">
  <sheetPr>
    <tabColor theme="9" tint="0.79998168889431442"/>
  </sheetPr>
  <dimension ref="A1:R20"/>
  <sheetViews>
    <sheetView zoomScaleNormal="100" workbookViewId="0">
      <selection activeCell="E21" sqref="E21"/>
    </sheetView>
  </sheetViews>
  <sheetFormatPr defaultColWidth="11.42578125" defaultRowHeight="15"/>
  <cols>
    <col min="1" max="1" width="26.5703125" style="1" customWidth="1"/>
    <col min="2" max="2" width="16.85546875" style="1" customWidth="1"/>
    <col min="3" max="3" width="25" style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27.5703125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64.28515625" style="1" customWidth="1"/>
    <col min="16" max="16" width="94.42578125" style="1" bestFit="1" customWidth="1"/>
    <col min="17" max="17" width="132.5703125" style="1" bestFit="1" customWidth="1"/>
    <col min="18" max="18" width="113.85546875" style="1" customWidth="1"/>
    <col min="19" max="19" width="52.28515625" style="1" bestFit="1" customWidth="1"/>
    <col min="20" max="16384" width="11.42578125" style="1"/>
  </cols>
  <sheetData>
    <row r="1" spans="1:18">
      <c r="A1" s="106" t="s">
        <v>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8">
      <c r="A2" s="4" t="s">
        <v>12</v>
      </c>
      <c r="B2" s="107" t="str">
        <f>'Listado Objetos de Dominio'!A5</f>
        <v>ChatBot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8">
      <c r="A3" s="4" t="s">
        <v>14</v>
      </c>
      <c r="B3" s="107" t="str">
        <f>'Listado Objetos de Dominio'!$C$5</f>
        <v xml:space="preserve">Esta entidad se encarga de redireccionar el chatbot desde la pagina web. 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</row>
    <row r="4" spans="1:18">
      <c r="A4" s="8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  <c r="K4" s="9" t="s">
        <v>25</v>
      </c>
      <c r="L4" s="9" t="s">
        <v>26</v>
      </c>
      <c r="M4" s="9" t="s">
        <v>27</v>
      </c>
      <c r="N4" s="9" t="s">
        <v>28</v>
      </c>
      <c r="O4" s="9" t="s">
        <v>29</v>
      </c>
      <c r="P4" s="10" t="s">
        <v>2</v>
      </c>
      <c r="Q4" s="34" t="e">
        <f>#REF!</f>
        <v>#REF!</v>
      </c>
      <c r="R4" s="32" t="e">
        <f>#REF!</f>
        <v>#REF!</v>
      </c>
    </row>
    <row r="5" spans="1:18">
      <c r="A5" s="11"/>
      <c r="B5" s="5"/>
      <c r="C5" s="5"/>
      <c r="D5" s="5"/>
      <c r="E5" s="5"/>
      <c r="F5" s="5"/>
      <c r="G5" s="5"/>
      <c r="H5" s="54"/>
      <c r="I5" s="5"/>
      <c r="J5" s="13"/>
      <c r="K5" s="12"/>
      <c r="L5" s="5"/>
      <c r="M5" s="5"/>
      <c r="N5" s="5"/>
      <c r="O5" s="5"/>
      <c r="P5" s="7"/>
      <c r="Q5" s="50"/>
      <c r="R5" s="51"/>
    </row>
    <row r="6" spans="1:18">
      <c r="A6" s="11"/>
      <c r="B6" s="5"/>
      <c r="C6" s="5"/>
      <c r="D6" s="5"/>
      <c r="E6" s="5"/>
      <c r="F6" s="5"/>
      <c r="G6" s="5"/>
      <c r="H6" s="54"/>
      <c r="I6" s="5"/>
      <c r="J6" s="13"/>
      <c r="K6" s="12"/>
      <c r="L6" s="5"/>
      <c r="M6" s="5"/>
      <c r="N6" s="5"/>
      <c r="O6" s="5"/>
      <c r="P6" s="7"/>
      <c r="Q6" s="50"/>
      <c r="R6" s="51"/>
    </row>
    <row r="7" spans="1:18">
      <c r="A7" s="11"/>
      <c r="B7" s="5"/>
      <c r="C7" s="5"/>
      <c r="D7" s="5"/>
      <c r="E7" s="5"/>
      <c r="F7" s="5"/>
      <c r="G7" s="5"/>
      <c r="H7" s="54"/>
      <c r="I7" s="5"/>
      <c r="J7" s="6"/>
      <c r="K7" s="12"/>
      <c r="L7" s="5"/>
      <c r="M7" s="5"/>
      <c r="N7" s="5"/>
      <c r="O7" s="5"/>
      <c r="P7" s="7"/>
      <c r="Q7" s="50"/>
      <c r="R7" s="51"/>
    </row>
    <row r="8" spans="1:18">
      <c r="A8" s="11"/>
      <c r="B8" s="5"/>
      <c r="C8" s="5"/>
      <c r="D8" s="5"/>
      <c r="E8" s="5"/>
      <c r="F8" s="5"/>
      <c r="G8" s="5"/>
      <c r="H8" s="54"/>
      <c r="I8" s="5"/>
      <c r="J8" s="6"/>
      <c r="K8" s="12"/>
      <c r="L8" s="5"/>
      <c r="M8" s="5"/>
      <c r="N8" s="5"/>
      <c r="O8" s="5"/>
      <c r="P8" s="7"/>
      <c r="Q8" s="50"/>
      <c r="R8" s="51"/>
    </row>
    <row r="9" spans="1:18">
      <c r="A9" s="11"/>
      <c r="B9" s="5"/>
      <c r="C9" s="5"/>
      <c r="D9" s="5"/>
      <c r="E9" s="5"/>
      <c r="F9" s="5"/>
      <c r="G9" s="5"/>
      <c r="H9" s="54"/>
      <c r="I9" s="5"/>
      <c r="J9" s="6"/>
      <c r="K9" s="12"/>
      <c r="L9" s="5"/>
      <c r="M9" s="5"/>
      <c r="N9" s="5"/>
      <c r="O9" s="5"/>
      <c r="P9" s="7"/>
      <c r="Q9" s="50"/>
      <c r="R9" s="51"/>
    </row>
    <row r="10" spans="1:18">
      <c r="A10" s="11"/>
      <c r="B10" s="5"/>
      <c r="C10" s="5"/>
      <c r="D10" s="5"/>
      <c r="E10" s="5"/>
      <c r="F10" s="5"/>
      <c r="G10" s="5"/>
      <c r="H10" s="54"/>
      <c r="I10" s="5"/>
      <c r="J10" s="6"/>
      <c r="K10" s="12"/>
      <c r="L10" s="5"/>
      <c r="M10" s="5"/>
      <c r="N10" s="5"/>
      <c r="O10" s="5"/>
      <c r="P10" s="7"/>
      <c r="Q10" s="50"/>
      <c r="R10" s="51"/>
    </row>
    <row r="12" spans="1:18">
      <c r="A12" s="108" t="s">
        <v>46</v>
      </c>
      <c r="B12" s="108"/>
      <c r="C12" s="108"/>
    </row>
    <row r="13" spans="1:18">
      <c r="A13" s="17" t="s">
        <v>47</v>
      </c>
      <c r="B13" s="16" t="s">
        <v>2</v>
      </c>
      <c r="C13" s="18" t="s">
        <v>48</v>
      </c>
    </row>
    <row r="14" spans="1:18" ht="56.25" customHeight="1">
      <c r="A14" s="48"/>
      <c r="B14" s="15"/>
      <c r="C14" s="49"/>
    </row>
    <row r="16" spans="1:18">
      <c r="A16" s="111" t="s">
        <v>49</v>
      </c>
      <c r="B16" s="111"/>
      <c r="C16" s="112" t="s">
        <v>2</v>
      </c>
      <c r="D16" s="112"/>
      <c r="E16" s="112"/>
      <c r="F16" s="112"/>
      <c r="G16" s="112" t="s">
        <v>50</v>
      </c>
      <c r="H16" s="112"/>
      <c r="I16" s="112"/>
      <c r="J16" s="112" t="s">
        <v>51</v>
      </c>
      <c r="K16" s="112"/>
      <c r="L16" s="112"/>
      <c r="M16" s="112"/>
      <c r="N16" s="112"/>
      <c r="O16" s="112" t="s">
        <v>52</v>
      </c>
      <c r="P16" s="112"/>
      <c r="Q16" s="112" t="s">
        <v>53</v>
      </c>
      <c r="R16" s="112"/>
    </row>
    <row r="17" spans="1:18">
      <c r="A17" s="111"/>
      <c r="B17" s="111"/>
      <c r="C17" s="112"/>
      <c r="D17" s="112"/>
      <c r="E17" s="112"/>
      <c r="F17" s="112"/>
      <c r="G17" s="43" t="s">
        <v>54</v>
      </c>
      <c r="H17" s="43" t="s">
        <v>55</v>
      </c>
      <c r="I17" s="43" t="s">
        <v>2</v>
      </c>
      <c r="J17" s="43" t="s">
        <v>16</v>
      </c>
      <c r="K17" s="138" t="s">
        <v>2</v>
      </c>
      <c r="L17" s="138"/>
      <c r="M17" s="138"/>
      <c r="N17" s="138"/>
      <c r="O17" s="43" t="s">
        <v>56</v>
      </c>
      <c r="P17" s="43" t="s">
        <v>2</v>
      </c>
      <c r="Q17" s="43" t="s">
        <v>57</v>
      </c>
      <c r="R17" s="44" t="s">
        <v>58</v>
      </c>
    </row>
    <row r="18" spans="1:18" ht="14.25" customHeight="1">
      <c r="A18" s="131"/>
      <c r="B18" s="132"/>
      <c r="C18" s="133"/>
      <c r="D18" s="133"/>
      <c r="E18" s="133"/>
      <c r="F18" s="133"/>
      <c r="G18" s="22"/>
      <c r="H18" s="53"/>
      <c r="I18" s="22"/>
      <c r="J18" s="21"/>
      <c r="K18" s="133"/>
      <c r="L18" s="133"/>
      <c r="M18" s="133"/>
      <c r="N18" s="133"/>
      <c r="O18" s="22"/>
      <c r="P18" s="20"/>
      <c r="Q18" s="20"/>
      <c r="R18" s="26"/>
    </row>
    <row r="20" spans="1:18">
      <c r="A20" s="81" t="s">
        <v>59</v>
      </c>
    </row>
  </sheetData>
  <mergeCells count="14">
    <mergeCell ref="Q16:R16"/>
    <mergeCell ref="K17:N17"/>
    <mergeCell ref="A18:B18"/>
    <mergeCell ref="C18:F18"/>
    <mergeCell ref="K18:N18"/>
    <mergeCell ref="A1:P1"/>
    <mergeCell ref="B2:P2"/>
    <mergeCell ref="B3:P3"/>
    <mergeCell ref="A12:C12"/>
    <mergeCell ref="A16:B17"/>
    <mergeCell ref="C16:F17"/>
    <mergeCell ref="G16:I16"/>
    <mergeCell ref="J16:N16"/>
    <mergeCell ref="O16:P16"/>
  </mergeCells>
  <hyperlinks>
    <hyperlink ref="A1" location="'Objetos de Dominio'!A1" display="Volver al inicio" xr:uid="{A7791D85-A840-496C-A114-D6AFA4B8A555}"/>
    <hyperlink ref="R4" location="'Objeto Dominio 1'!A17" display="'Objeto Dominio 1'!A17" xr:uid="{14C1D942-89BB-4D47-A3CC-7EFB0DB9B145}"/>
    <hyperlink ref="Q4" location="'Objeto Dominio 1'!A16" display="'Objeto Dominio 1'!A16" xr:uid="{38093A7A-E33C-4B0B-AA25-318911041146}"/>
    <hyperlink ref="A1:P1" location="'Listado Objetos de Dominio'!A1" display="&lt;-Volver al inicio" xr:uid="{039FFC35-7A7E-48F0-BC27-4C4071E02979}"/>
    <hyperlink ref="A20" location="'Muestreo Administrador'!A1" display="&lt;&lt;Muestreo de datos&gt;&gt;" xr:uid="{7C81163C-AE41-4142-9D40-77BEBEEDDEE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5A00-1470-4757-A4BB-94C6B3424A4B}">
  <sheetPr>
    <tabColor theme="9" tint="0.79998168889431442"/>
  </sheetPr>
  <dimension ref="A1:P1"/>
  <sheetViews>
    <sheetView workbookViewId="0"/>
  </sheetViews>
  <sheetFormatPr defaultColWidth="11.42578125" defaultRowHeight="15"/>
  <cols>
    <col min="2" max="2" width="16.28515625" customWidth="1"/>
    <col min="3" max="3" width="13.140625" customWidth="1"/>
    <col min="4" max="4" width="17.42578125" customWidth="1"/>
    <col min="5" max="5" width="19.140625" customWidth="1"/>
    <col min="6" max="6" width="17.7109375" customWidth="1"/>
    <col min="7" max="7" width="19.42578125" customWidth="1"/>
    <col min="8" max="8" width="20.140625" customWidth="1"/>
    <col min="9" max="9" width="23.5703125" customWidth="1"/>
    <col min="10" max="11" width="9.140625"/>
    <col min="12" max="12" width="24.7109375" customWidth="1"/>
    <col min="13" max="13" width="23" customWidth="1"/>
  </cols>
  <sheetData>
    <row r="1" spans="1:16">
      <c r="A1" s="106" t="s">
        <v>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</sheetData>
  <mergeCells count="1">
    <mergeCell ref="A1:P1"/>
  </mergeCells>
  <hyperlinks>
    <hyperlink ref="A1" location="'Objetos de Dominio'!A1" display="Volver al inicio" xr:uid="{8A15177A-ECCE-4D63-A9DA-395C0ECCEFDD}"/>
    <hyperlink ref="A1:P1" location="'Listado Objetos de Dominio'!A1" display="&lt;-Volver al inicio" xr:uid="{85FC205F-3954-492E-B4F1-CEA653790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659f7965a52e4a348885b98bacef8369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fad9b7dba9f1229b483ced6710eae0df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Props1.xml><?xml version="1.0" encoding="utf-8"?>
<ds:datastoreItem xmlns:ds="http://schemas.openxmlformats.org/officeDocument/2006/customXml" ds:itemID="{6724C681-8A04-4D66-BB1C-57F7466573C0}"/>
</file>

<file path=customXml/itemProps2.xml><?xml version="1.0" encoding="utf-8"?>
<ds:datastoreItem xmlns:ds="http://schemas.openxmlformats.org/officeDocument/2006/customXml" ds:itemID="{52EE0A52-1B97-4DD1-A441-CE66EB040DCF}"/>
</file>

<file path=customXml/itemProps3.xml><?xml version="1.0" encoding="utf-8"?>
<ds:datastoreItem xmlns:ds="http://schemas.openxmlformats.org/officeDocument/2006/customXml" ds:itemID="{C2038022-656B-4A1B-A485-51A1972238BD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Alexander Cardona Alzate</cp:lastModifiedBy>
  <cp:revision/>
  <dcterms:created xsi:type="dcterms:W3CDTF">2023-03-15T04:00:09Z</dcterms:created>
  <dcterms:modified xsi:type="dcterms:W3CDTF">2025-06-11T03:43:23Z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0x0101009AE00E38F6D3014A8F884FC2DDE00A5F</vt:lpwstr>
  </property>
  <property fmtid="{D5CDD505-2E9C-101B-9397-08002B2CF9AE}" pid="12" name="MediaServiceImageTags">
    <vt:lpwstr/>
  </property>
</Properties>
</file>