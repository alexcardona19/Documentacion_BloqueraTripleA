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1. Artefactos estratégicos/1.1.4. Modelo de dominio/1.1.3.2. Modelo de dominio enriquecido/"/>
    </mc:Choice>
  </mc:AlternateContent>
  <xr:revisionPtr revIDLastSave="5933" documentId="13_ncr:1_{A3ED26CE-B9B4-44E1-B8D4-0D8FE2E00BFE}" xr6:coauthVersionLast="47" xr6:coauthVersionMax="47" xr10:uidLastSave="{0FD031A8-0EB0-46B9-86F5-741D25C85A25}"/>
  <bookViews>
    <workbookView xWindow="-120" yWindow="-120" windowWidth="38640" windowHeight="21120" tabRatio="668" firstSheet="5" activeTab="1" xr2:uid="{36012E7C-B3F4-482B-AC16-7CCB81B9AE88}"/>
  </bookViews>
  <sheets>
    <sheet name="Modelo de dominio anémico" sheetId="61" r:id="rId1"/>
    <sheet name="Listado Objetos de Dominio" sheetId="125" r:id="rId2"/>
    <sheet name="Asesor" sheetId="71" r:id="rId3"/>
    <sheet name="Muestreo Asesor" sheetId="117" r:id="rId4"/>
    <sheet name="Usuario Visitante" sheetId="126" r:id="rId5"/>
    <sheet name="Muestreo Usuario Visitante" sheetId="116" r:id="rId6"/>
    <sheet name="Preguntas Frecuentes" sheetId="70" r:id="rId7"/>
    <sheet name="Muestreo Preguntas Frecuentes" sheetId="114" r:id="rId8"/>
    <sheet name="Pagina Web" sheetId="24" r:id="rId9"/>
    <sheet name="Muestreo Pagina Web" sheetId="109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71" l="1"/>
  <c r="Q4" i="126"/>
  <c r="Q4" i="24"/>
  <c r="B2" i="71"/>
  <c r="B3" i="71"/>
  <c r="B3" i="70"/>
  <c r="B3" i="126"/>
  <c r="B2" i="70"/>
  <c r="B2" i="24"/>
  <c r="B3" i="24"/>
  <c r="B2" i="126"/>
  <c r="Q4" i="70"/>
</calcChain>
</file>

<file path=xl/sharedStrings.xml><?xml version="1.0" encoding="utf-8"?>
<sst xmlns="http://schemas.openxmlformats.org/spreadsheetml/2006/main" count="614" uniqueCount="273">
  <si>
    <t>Nombre</t>
  </si>
  <si>
    <t>Muestreo</t>
  </si>
  <si>
    <t>Descripción</t>
  </si>
  <si>
    <t>Asesor</t>
  </si>
  <si>
    <t>&lt;&lt;muestreo&gt;&gt;</t>
  </si>
  <si>
    <t xml:space="preserve">Entidad que representa a un asesor encargado de interactuar con los usuarios a través del chatbot. </t>
  </si>
  <si>
    <t>Preguntas Frecuentes</t>
  </si>
  <si>
    <t xml:space="preserve">Entidad que contiene una lista de preguntas comunes que los usuarios podrían realizar al chatbot, junto con sus respuestas predefinidas. </t>
  </si>
  <si>
    <t>Pagina Web</t>
  </si>
  <si>
    <t>Entidad que representa la página web del negocio hacia donde el chatbot puede redirigir al usuario según una pregunta o interacción dentro del flujo del chat.</t>
  </si>
  <si>
    <t>Usuario Visitante</t>
  </si>
  <si>
    <t>Entidad que representa a los usuarios que interactúan con el chatbot de manera anónima o sin estar registrados.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</si>
  <si>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</si>
  <si>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</si>
  <si>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</si>
  <si>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</si>
  <si>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</si>
  <si>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</si>
  <si>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</si>
  <si>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</si>
  <si>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</si>
  <si>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</si>
  <si>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</si>
  <si>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</si>
  <si>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</si>
  <si>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</si>
  <si>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</si>
  <si>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</si>
  <si>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</si>
  <si>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</si>
  <si>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Id</t>
  </si>
  <si>
    <t xml:space="preserve">	Numérico (entero)</t>
  </si>
  <si>
    <t xml:space="preserve">######	</t>
  </si>
  <si>
    <t xml:space="preserve">Autoincremental	</t>
  </si>
  <si>
    <t xml:space="preserve">Único, sin reutilización	</t>
  </si>
  <si>
    <t xml:space="preserve">Sí	</t>
  </si>
  <si>
    <t>No</t>
  </si>
  <si>
    <t>Sí</t>
  </si>
  <si>
    <t xml:space="preserve">Identificador único del asesor	</t>
  </si>
  <si>
    <t>Alfanumerico</t>
  </si>
  <si>
    <t>Texto</t>
  </si>
  <si>
    <t xml:space="preserve">Solo letras y espacios	</t>
  </si>
  <si>
    <t xml:space="preserve">Nombre completo del asesor	</t>
  </si>
  <si>
    <t>Telefono</t>
  </si>
  <si>
    <t xml:space="preserve">Numérico texto	</t>
  </si>
  <si>
    <t xml:space="preserve">###########	</t>
  </si>
  <si>
    <t xml:space="preserve">Teléfono de contacto del asesor	</t>
  </si>
  <si>
    <t>Usuario_Visitante</t>
  </si>
  <si>
    <t xml:space="preserve">Id de Usuario	</t>
  </si>
  <si>
    <t xml:space="preserve">FK a entidad Usuario/Visitante	</t>
  </si>
  <si>
    <t xml:space="preserve">Relación con usuario visitante si aplica	</t>
  </si>
  <si>
    <t>Especialidad</t>
  </si>
  <si>
    <t xml:space="preserve">Alfanumérico	</t>
  </si>
  <si>
    <t xml:space="preserve">2	</t>
  </si>
  <si>
    <t>GENERAL</t>
  </si>
  <si>
    <t xml:space="preserve">Opcional, describe área temática	</t>
  </si>
  <si>
    <t xml:space="preserve">Área o tema principal que atiende (ej: ventas, soporte)	</t>
  </si>
  <si>
    <t>Combinaciones únicas</t>
  </si>
  <si>
    <t>Nombre combinación</t>
  </si>
  <si>
    <t>Atributos</t>
  </si>
  <si>
    <t>IdAsesor</t>
  </si>
  <si>
    <t xml:space="preserve">Identificación única del asesor	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</si>
  <si>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</si>
  <si>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</si>
  <si>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</si>
  <si>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</si>
  <si>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</si>
  <si>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</si>
  <si>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</si>
  <si>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</si>
  <si>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</si>
  <si>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</si>
  <si>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 xml:space="preserve">Responder los mensajes a los usuarios </t>
  </si>
  <si>
    <t xml:space="preserve">Atender solicitudes recibidas por el chatbot	</t>
  </si>
  <si>
    <t>mensajeUsuario</t>
  </si>
  <si>
    <t xml:space="preserve">Mensaje recibido del usuario	</t>
  </si>
  <si>
    <t>mensajeRespuesta</t>
  </si>
  <si>
    <t xml:space="preserve">Respuesta generada por asesor	</t>
  </si>
  <si>
    <t xml:space="preserve">Debe responder en un tiempo máximo definido
</t>
  </si>
  <si>
    <t xml:space="preserve">El asesor debe responder cada mensaje en menos de 2 minutos	</t>
  </si>
  <si>
    <t xml:space="preserve">No se recibe mensaje del usuario	</t>
  </si>
  <si>
    <t xml:space="preserve">Registrar el incidente y notificar al usuario o Administrador
</t>
  </si>
  <si>
    <t>&lt;&lt;Muestreo de datos&gt;&gt;</t>
  </si>
  <si>
    <t>Juan Pérez</t>
  </si>
  <si>
    <t>Ventas</t>
  </si>
  <si>
    <t>María Fernanda Ríos</t>
  </si>
  <si>
    <t>Soporte</t>
  </si>
  <si>
    <t>Luis Miguel Duarte</t>
  </si>
  <si>
    <t>General</t>
  </si>
  <si>
    <t>Laura Rodríguez</t>
  </si>
  <si>
    <t>IdUsuarioVisitante</t>
  </si>
  <si>
    <t>Numerico</t>
  </si>
  <si>
    <t xml:space="preserve">N/A	</t>
  </si>
  <si>
    <t>Identificador único del usuario visitante</t>
  </si>
  <si>
    <t>SI</t>
  </si>
  <si>
    <t>Numero Telefono</t>
  </si>
  <si>
    <t xml:space="preserve">15	</t>
  </si>
  <si>
    <t xml:space="preserve">Solo números	</t>
  </si>
  <si>
    <t xml:space="preserve">Número de teléfono del usuario
</t>
  </si>
  <si>
    <t xml:space="preserve">No contiene caracteres especiales	</t>
  </si>
  <si>
    <t xml:space="preserve">Nombre del usuario
</t>
  </si>
  <si>
    <t>FechaPrimerContacto</t>
  </si>
  <si>
    <t>Fecha y hora</t>
  </si>
  <si>
    <t>N/A</t>
  </si>
  <si>
    <t xml:space="preserve">Fecha y hora del primer contacto
</t>
  </si>
  <si>
    <t>fechaUltimaInteracción</t>
  </si>
  <si>
    <t>YYYY-MM-DD HH:MM:SS</t>
  </si>
  <si>
    <t xml:space="preserve">Fecha y hora de la última interacción
</t>
  </si>
  <si>
    <t>NO</t>
  </si>
  <si>
    <t>Estado Conversación</t>
  </si>
  <si>
    <t>Enum</t>
  </si>
  <si>
    <t>"Iniciada"</t>
  </si>
  <si>
    <t>"Finalizada"</t>
  </si>
  <si>
    <t>Estado de la conversación</t>
  </si>
  <si>
    <t xml:space="preserve">Estado de la conversación
</t>
  </si>
  <si>
    <t xml:space="preserve">Combinación de Conversación	</t>
  </si>
  <si>
    <t xml:space="preserve">Asegura que un usuario no pueda tener múltiples conversaciones abiertas al mismo tiempo	</t>
  </si>
  <si>
    <t xml:space="preserve">IdUsuarioVisitante, EstadoConversacion
</t>
  </si>
  <si>
    <t>Iniciar Chat</t>
  </si>
  <si>
    <t xml:space="preserve">Iniciar una conversación con el chatbot	</t>
  </si>
  <si>
    <t>NumeroTelefono</t>
  </si>
  <si>
    <t>Numérico</t>
  </si>
  <si>
    <t xml:space="preserve">Teléfono del usuario visitante	</t>
  </si>
  <si>
    <t>Alfanumérico</t>
  </si>
  <si>
    <t xml:space="preserve">Estado de conversación actualizado a 'Iniciada'	</t>
  </si>
  <si>
    <t xml:space="preserve">Validación de conversación activa	</t>
  </si>
  <si>
    <t xml:space="preserve">Un usuario no puede tener más de una conversación activa simultáneamente.	</t>
  </si>
  <si>
    <t xml:space="preserve">Ya existe una conversación activa	</t>
  </si>
  <si>
    <t xml:space="preserve">Retornar mensaje: "Ya tienes una conversación activa. Finalízala para iniciar otra."
</t>
  </si>
  <si>
    <t xml:space="preserve">Nombre	</t>
  </si>
  <si>
    <t xml:space="preserve">Nombre del usuario visitante	</t>
  </si>
  <si>
    <t xml:space="preserve">Fecha y hora	</t>
  </si>
  <si>
    <t xml:space="preserve">Fecha y hora actual del primer contacto	</t>
  </si>
  <si>
    <t xml:space="preserve">Registro de tiempo	</t>
  </si>
  <si>
    <t xml:space="preserve">Debe guardarse la fecha y hora exacta del primer contacto con el chatbot	</t>
  </si>
  <si>
    <t xml:space="preserve">Fallo en registro de fecha	</t>
  </si>
  <si>
    <t xml:space="preserve">Asignar hora del sistema como fallback
</t>
  </si>
  <si>
    <t>EstadoConversacion</t>
  </si>
  <si>
    <t xml:space="preserve">Estado de conversación inicial (valor: "Iniciada")	</t>
  </si>
  <si>
    <t>FechaUltimaInteracción</t>
  </si>
  <si>
    <t>EstadoConversación</t>
  </si>
  <si>
    <t>Finalizada</t>
  </si>
  <si>
    <t>María Rodríguez</t>
  </si>
  <si>
    <t>Iniciada</t>
  </si>
  <si>
    <t>Carlos Martínez</t>
  </si>
  <si>
    <t>Laura Gómez</t>
  </si>
  <si>
    <t>Andrés Morales</t>
  </si>
  <si>
    <t>Camila Fernández</t>
  </si>
  <si>
    <t>Sergio López</t>
  </si>
  <si>
    <t>Diana Torres</t>
  </si>
  <si>
    <t>Óscar Ramírez</t>
  </si>
  <si>
    <t>Valentina Salazar</t>
  </si>
  <si>
    <t>id</t>
  </si>
  <si>
    <t xml:space="preserve">Numérico (entero)	</t>
  </si>
  <si>
    <t xml:space="preserve">1	</t>
  </si>
  <si>
    <t xml:space="preserve">10	</t>
  </si>
  <si>
    <t xml:space="preserve">No	</t>
  </si>
  <si>
    <t xml:space="preserve">Identificador único de la pregunta frecuente	</t>
  </si>
  <si>
    <t>pregunta</t>
  </si>
  <si>
    <t xml:space="preserve">No caracteres ofensivos	</t>
  </si>
  <si>
    <t xml:space="preserve">Pregunta frecuente realizada por el usuario	</t>
  </si>
  <si>
    <t>respuesta</t>
  </si>
  <si>
    <t xml:space="preserve">Texto largo	</t>
  </si>
  <si>
    <t xml:space="preserve">Texto claro, sin enlaces rotos	</t>
  </si>
  <si>
    <t xml:space="preserve">Respuesta predefinida a la pregunta frecuente	</t>
  </si>
  <si>
    <t>fecha_creacion</t>
  </si>
  <si>
    <t xml:space="preserve">Fecha/Hora	</t>
  </si>
  <si>
    <t xml:space="preserve">yyyy-MM-dd HH:mm:ss	</t>
  </si>
  <si>
    <t xml:space="preserve">now()	</t>
  </si>
  <si>
    <t>Inmutable</t>
  </si>
  <si>
    <t xml:space="preserve">Fecha y hora de creación del registro	</t>
  </si>
  <si>
    <t>fecha_modificación</t>
  </si>
  <si>
    <t>null</t>
  </si>
  <si>
    <t>Actualizable</t>
  </si>
  <si>
    <t>Si</t>
  </si>
  <si>
    <t xml:space="preserve">Fecha y hora de la última modificación del registro	</t>
  </si>
  <si>
    <t xml:space="preserve">Pregunta Única	</t>
  </si>
  <si>
    <t xml:space="preserve">Asegura que no haya preguntas repetidas.	</t>
  </si>
  <si>
    <t>Consultar</t>
  </si>
  <si>
    <t>Consulta una pregunta frecuente específica según su identificador o texto.</t>
  </si>
  <si>
    <t xml:space="preserve">id </t>
  </si>
  <si>
    <t>identificador de la pregunta frecuente</t>
  </si>
  <si>
    <t>PreguntasFrecuentes</t>
  </si>
  <si>
    <t>Objeto completo con pregunta y respuesta solicitada.</t>
  </si>
  <si>
    <t>Pregunta existente</t>
  </si>
  <si>
    <t xml:space="preserve"> La pregunta solicitada debe existir y estar activa.</t>
  </si>
  <si>
    <r>
      <rPr>
        <b/>
        <sz val="11"/>
        <color rgb="FF000000"/>
        <rFont val="Calibri"/>
        <scheme val="minor"/>
      </rPr>
      <t>PreguntaFrecuenteNoEncontradaException</t>
    </r>
    <r>
      <rPr>
        <sz val="11"/>
        <color rgb="FF000000"/>
        <rFont val="Calibri"/>
        <scheme val="minor"/>
      </rPr>
      <t>(La pregunta frecuente consultada (por id o pregunta) no existe</t>
    </r>
  </si>
  <si>
    <t>Verificar que el identificador o texto sean correctos. Si no existe, registrarla como una nueva pregunta frecuente.</t>
  </si>
  <si>
    <t xml:space="preserve">pregunta </t>
  </si>
  <si>
    <t>texto exacto de la pregunta frecuente</t>
  </si>
  <si>
    <t>¿Cuál es el horario de atención?</t>
  </si>
  <si>
    <t>Nuestro horario de atención es de lunes a viernes de 8:00 a.m. a 6:00 p.m.</t>
  </si>
  <si>
    <t>2025-06-01T09:00:00Z</t>
  </si>
  <si>
    <t>¿Dónde puedo consultar el estado de mi pedido?</t>
  </si>
  <si>
    <t>Puedes consultar el estado de tu pedido ingresando a: https://miempresa.com/estado-pedido</t>
  </si>
  <si>
    <t>2025-06-02T10:15:00Z</t>
  </si>
  <si>
    <t>2025-06-05T14:45:00Z</t>
  </si>
  <si>
    <t>¿Qué medios de pago aceptan?</t>
  </si>
  <si>
    <t xml:space="preserve">Aceptamos tarjetas de crédito, débito, transferencias y pagos en efectivo </t>
  </si>
  <si>
    <t>2025-06-04T13:00:00Z</t>
  </si>
  <si>
    <t>2025-06-06T09:00:00Z</t>
  </si>
  <si>
    <t>Tengo una pregunta diferente, ¿me pueden ayudar?</t>
  </si>
  <si>
    <t>Claro, en un momento te comunicaremos con uno de nuestros asesores para ayudarte personalmente.</t>
  </si>
  <si>
    <t>2025-06-07T15:20:00Z</t>
  </si>
  <si>
    <t xml:space="preserve">idPaginaWeb </t>
  </si>
  <si>
    <t>Entero</t>
  </si>
  <si>
    <t>Identificador único interno.</t>
  </si>
  <si>
    <t xml:space="preserve">✔️
</t>
  </si>
  <si>
    <t xml:space="preserve">url </t>
  </si>
  <si>
    <t>String(URL válida (http/https)</t>
  </si>
  <si>
    <t>Debe ser URL válida</t>
  </si>
  <si>
    <t>URL específica de la página web destino.</t>
  </si>
  <si>
    <t xml:space="preserve">titulo </t>
  </si>
  <si>
    <t>String</t>
  </si>
  <si>
    <t>Título breve que identifica claramente la página web.</t>
  </si>
  <si>
    <t>✔️</t>
  </si>
  <si>
    <t xml:space="preserve">descripcion </t>
  </si>
  <si>
    <t>No(Opcional)</t>
  </si>
  <si>
    <t>Breve descripción para aclarar al usuario sobre el contenido al que será redirigido.</t>
  </si>
  <si>
    <t>fechaCreacion</t>
  </si>
  <si>
    <t>DateTime</t>
  </si>
  <si>
    <t xml:space="preserve"> Fecha y hora de creación de este registro.</t>
  </si>
  <si>
    <t xml:space="preserve">fechaModificacion </t>
  </si>
  <si>
    <t>Última fecha y hora de actualización.</t>
  </si>
  <si>
    <t>etiquetaPregunta</t>
  </si>
  <si>
    <t>Palabra o etiqueta clave que asocia esta URL con una pregunta específica del chatbot.</t>
  </si>
  <si>
    <t xml:space="preserve">URL Única	</t>
  </si>
  <si>
    <t xml:space="preserve">Asegura que no existan URLs repetidas.	</t>
  </si>
  <si>
    <t>url</t>
  </si>
  <si>
    <t xml:space="preserve">EtiquetaPregunta Única	</t>
  </si>
  <si>
    <t xml:space="preserve">Cada etiquetaPregunta es única para facilitar su uso como identificador.	</t>
  </si>
  <si>
    <t xml:space="preserve">etiquetaPregunta
</t>
  </si>
  <si>
    <t>Consulta una página web por identificador único (idPaginaWeb) o por etiqueta asociada (etiquetaPregunta) y verifica la disponibilidad real de la URL registrada antes de retornar sus datos específicos.</t>
  </si>
  <si>
    <t>idPaginaWeb</t>
  </si>
  <si>
    <t xml:space="preserve">Identificador único del registro (opcional si usa etiquetaPregunta).
</t>
  </si>
  <si>
    <t>PaginaWeb</t>
  </si>
  <si>
    <t>Redirrecionamiento hacia la pagina Web</t>
  </si>
  <si>
    <t xml:space="preserve">Existencia del registro	</t>
  </si>
  <si>
    <t>Debe existir un registro activo en la base de datos correspondiente a la consulta (idPaginaWeb o etiquetaPregunta).</t>
  </si>
  <si>
    <r>
      <rPr>
        <b/>
        <sz val="11"/>
        <color rgb="FF000000"/>
        <rFont val="Calibri"/>
        <scheme val="minor"/>
      </rPr>
      <t>PaginaWebNoEncontradaException</t>
    </r>
    <r>
      <rPr>
        <sz val="11"/>
        <color rgb="FF000000"/>
        <rFont val="Calibri"/>
        <scheme val="minor"/>
      </rPr>
      <t xml:space="preserve">	(La página solicitada no existe o está deshabilitada en la base de datos.	)</t>
    </r>
  </si>
  <si>
    <t>Verificar que el ID o etiqueta sean correctos y existan activos en la base de datos, o solicitar registro y activación.</t>
  </si>
  <si>
    <t xml:space="preserve">etiquetaPregunta	</t>
  </si>
  <si>
    <t xml:space="preserve">Etiqueta asociada al registro (opcional si usa idPaginaWeb).
</t>
  </si>
  <si>
    <t xml:space="preserve">Disponibilidad URL	</t>
  </si>
  <si>
    <t xml:space="preserve">La URL debe ser accesible y responder correctamente 	</t>
  </si>
  <si>
    <r>
      <rPr>
        <b/>
        <sz val="11"/>
        <color rgb="FF000000"/>
        <rFont val="Calibri"/>
        <scheme val="minor"/>
      </rPr>
      <t>PaginaWebNoDisponibleException</t>
    </r>
    <r>
      <rPr>
        <sz val="11"/>
        <color rgb="FF000000"/>
        <rFont val="Calibri"/>
        <scheme val="minor"/>
      </rPr>
      <t xml:space="preserve">	(La página existe en el sistema pero la URL no responde correctamente (timeout, HTTP error 404 o 500).</t>
    </r>
  </si>
  <si>
    <t>Verificar la URL, contactar con soporte técnico del sitio web destino o corregir la URL registrada en la base de datos.</t>
  </si>
  <si>
    <t>titulo</t>
  </si>
  <si>
    <t>descripcion</t>
  </si>
  <si>
    <t>fechaModificacion</t>
  </si>
  <si>
    <t>https://miempresa.com/inicio</t>
  </si>
  <si>
    <t>Página Principal</t>
  </si>
  <si>
    <t>Página principal con información general del negocio.</t>
  </si>
  <si>
    <t>2025-06-01T08:30:00Z</t>
  </si>
  <si>
    <t>inicio</t>
  </si>
  <si>
    <t>https://miempresa.com/contacto</t>
  </si>
  <si>
    <t>Contáctanos</t>
  </si>
  <si>
    <t>Formulario de contacto y datos de atención al cliente.</t>
  </si>
  <si>
    <t>2025-06-01T08:45:00Z</t>
  </si>
  <si>
    <t>2025-06-05T10:00:00Z</t>
  </si>
  <si>
    <t>contacto</t>
  </si>
  <si>
    <t>https://miempresa.com/productos</t>
  </si>
  <si>
    <t>Nuestros Productos</t>
  </si>
  <si>
    <t>Catálogo completo de productos disponibles.</t>
  </si>
  <si>
    <t>2025-06-02T09:15:00Z</t>
  </si>
  <si>
    <t>2025-06-06T09:20:00Z</t>
  </si>
  <si>
    <t>productos</t>
  </si>
  <si>
    <t>https://miempresa.com/faq</t>
  </si>
  <si>
    <t>Preguntas Frecuentes (FAQ)</t>
  </si>
  <si>
    <t>Respuestas rápidas a preguntas comunes de clientes.</t>
  </si>
  <si>
    <t>2025-06-03T10:00:00Z</t>
  </si>
  <si>
    <t>2025-06-07T14:10:00Z</t>
  </si>
  <si>
    <t>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</si>
</sst>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148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quotePrefix="1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quotePrefix="1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3" fillId="9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2" fillId="7" borderId="9" xfId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6" borderId="1" xfId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2" fillId="5" borderId="24" xfId="2" applyFill="1" applyBorder="1" applyAlignment="1">
      <alignment horizontal="center" vertical="center"/>
    </xf>
    <xf numFmtId="0" fontId="2" fillId="7" borderId="9" xfId="2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5" borderId="1" xfId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2" fillId="7" borderId="9" xfId="2" applyFill="1" applyBorder="1" applyAlignment="1">
      <alignment vertical="center" wrapText="1"/>
    </xf>
    <xf numFmtId="0" fontId="0" fillId="9" borderId="14" xfId="0" applyFill="1" applyBorder="1" applyAlignment="1">
      <alignment vertical="center"/>
    </xf>
    <xf numFmtId="0" fontId="2" fillId="9" borderId="19" xfId="1" applyFill="1" applyBorder="1" applyAlignment="1">
      <alignment horizontal="left" vertical="center"/>
    </xf>
    <xf numFmtId="0" fontId="0" fillId="9" borderId="30" xfId="0" applyFill="1" applyBorder="1" applyAlignment="1">
      <alignment horizontal="left" vertical="center"/>
    </xf>
    <xf numFmtId="0" fontId="0" fillId="9" borderId="29" xfId="0" applyFill="1" applyBorder="1" applyAlignment="1">
      <alignment horizontal="center" vertical="center"/>
    </xf>
    <xf numFmtId="0" fontId="0" fillId="9" borderId="29" xfId="0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/>
    </xf>
    <xf numFmtId="0" fontId="0" fillId="9" borderId="31" xfId="0" applyFill="1" applyBorder="1" applyAlignment="1">
      <alignment vertical="center" wrapText="1"/>
    </xf>
    <xf numFmtId="0" fontId="0" fillId="9" borderId="32" xfId="0" applyFill="1" applyBorder="1" applyAlignment="1">
      <alignment vertical="center" wrapText="1"/>
    </xf>
    <xf numFmtId="0" fontId="7" fillId="4" borderId="2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2" fillId="10" borderId="1" xfId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 applyFill="1"/>
    <xf numFmtId="0" fontId="2" fillId="5" borderId="16" xfId="2" applyFill="1" applyBorder="1" applyAlignment="1">
      <alignment horizontal="center" vertical="center"/>
    </xf>
    <xf numFmtId="0" fontId="2" fillId="5" borderId="12" xfId="2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11" borderId="27" xfId="0" applyFill="1" applyBorder="1" applyAlignment="1">
      <alignment horizontal="left" vertical="center"/>
    </xf>
    <xf numFmtId="0" fontId="2" fillId="11" borderId="0" xfId="1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13" xfId="0" applyFill="1" applyBorder="1" applyAlignment="1">
      <alignment horizontal="center" vertical="center"/>
    </xf>
    <xf numFmtId="0" fontId="0" fillId="11" borderId="23" xfId="0" applyFill="1" applyBorder="1" applyAlignment="1">
      <alignment vertical="center" wrapText="1"/>
    </xf>
    <xf numFmtId="0" fontId="0" fillId="11" borderId="27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2" fillId="5" borderId="3" xfId="2" applyFill="1" applyBorder="1" applyAlignment="1">
      <alignment horizontal="center" vertical="center"/>
    </xf>
    <xf numFmtId="0" fontId="2" fillId="0" borderId="0" xfId="2" applyAlignment="1">
      <alignment vertical="center"/>
    </xf>
    <xf numFmtId="0" fontId="1" fillId="0" borderId="0" xfId="0" applyFont="1"/>
    <xf numFmtId="0" fontId="2" fillId="0" borderId="0" xfId="2"/>
    <xf numFmtId="0" fontId="12" fillId="12" borderId="0" xfId="0" applyFont="1" applyFill="1"/>
    <xf numFmtId="0" fontId="13" fillId="12" borderId="0" xfId="0" applyFont="1" applyFill="1"/>
    <xf numFmtId="0" fontId="14" fillId="12" borderId="0" xfId="2" applyFont="1" applyFill="1"/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32" xfId="0" applyFill="1" applyBorder="1" applyAlignment="1">
      <alignment vertical="center"/>
    </xf>
    <xf numFmtId="0" fontId="0" fillId="9" borderId="29" xfId="0" applyFill="1" applyBorder="1" applyAlignment="1">
      <alignment vertical="center"/>
    </xf>
    <xf numFmtId="22" fontId="0" fillId="0" borderId="0" xfId="0" applyNumberFormat="1"/>
    <xf numFmtId="0" fontId="0" fillId="11" borderId="24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5" borderId="1" xfId="2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8" borderId="4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2" fillId="5" borderId="14" xfId="1" applyFill="1" applyBorder="1" applyAlignment="1">
      <alignment horizontal="center" vertical="center"/>
    </xf>
    <xf numFmtId="0" fontId="2" fillId="5" borderId="46" xfId="1" applyFill="1" applyBorder="1" applyAlignment="1">
      <alignment horizontal="center" vertical="center"/>
    </xf>
    <xf numFmtId="0" fontId="2" fillId="5" borderId="43" xfId="1" applyFill="1" applyBorder="1" applyAlignment="1">
      <alignment horizontal="center" vertical="center"/>
    </xf>
    <xf numFmtId="0" fontId="2" fillId="5" borderId="44" xfId="1" applyFill="1" applyBorder="1" applyAlignment="1">
      <alignment horizontal="center" vertical="center"/>
    </xf>
    <xf numFmtId="0" fontId="2" fillId="5" borderId="10" xfId="1" applyFill="1" applyBorder="1" applyAlignment="1">
      <alignment horizontal="center" vertical="center"/>
    </xf>
    <xf numFmtId="0" fontId="2" fillId="5" borderId="11" xfId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" fillId="5" borderId="43" xfId="1" applyFill="1" applyBorder="1" applyAlignment="1">
      <alignment horizontal="center" vertical="center" wrapText="1"/>
    </xf>
    <xf numFmtId="0" fontId="2" fillId="5" borderId="44" xfId="1" applyFill="1" applyBorder="1" applyAlignment="1">
      <alignment horizontal="center" vertical="center" wrapText="1"/>
    </xf>
    <xf numFmtId="0" fontId="2" fillId="5" borderId="10" xfId="1" applyFill="1" applyBorder="1" applyAlignment="1">
      <alignment horizontal="center" vertical="center" wrapText="1"/>
    </xf>
    <xf numFmtId="0" fontId="2" fillId="5" borderId="11" xfId="1" applyFill="1" applyBorder="1" applyAlignment="1">
      <alignment horizontal="center" vertical="center" wrapText="1"/>
    </xf>
    <xf numFmtId="0" fontId="2" fillId="5" borderId="14" xfId="1" applyFill="1" applyBorder="1" applyAlignment="1">
      <alignment horizontal="center" vertical="center" wrapText="1"/>
    </xf>
    <xf numFmtId="0" fontId="2" fillId="5" borderId="46" xfId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" fillId="6" borderId="1" xfId="2" applyFill="1" applyBorder="1" applyAlignment="1">
      <alignment vertical="center"/>
    </xf>
    <xf numFmtId="0" fontId="0" fillId="11" borderId="25" xfId="0" applyFill="1" applyBorder="1" applyAlignment="1">
      <alignment vertical="center" wrapText="1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2C232876-5862-4F1C-8320-E226F8014D48}"/>
  </cellStyles>
  <dxfs count="17"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  <dxf>
      <font>
        <color rgb="FF000000"/>
        <family val="2"/>
      </font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m/d/yyyy\ h:mm"/>
    </dxf>
    <dxf>
      <numFmt numFmtId="27" formatCode="m/d/yyyy\ h:mm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</dxfs>
  <tableStyles count="0" defaultTableStyle="TableStyleMedium2" defaultPivotStyle="PivotStyleLight16"/>
  <colors>
    <mruColors>
      <color rgb="FF000000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3</xdr:row>
      <xdr:rowOff>171450</xdr:rowOff>
    </xdr:from>
    <xdr:to>
      <xdr:col>21</xdr:col>
      <xdr:colOff>190500</xdr:colOff>
      <xdr:row>41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89052D-48A8-7745-D712-D3EFA247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0" y="742950"/>
          <a:ext cx="6953250" cy="7153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Objetos%20de%20Dominio?966E7799" TargetMode="External"/><Relationship Id="rId1" Type="http://schemas.openxmlformats.org/officeDocument/2006/relationships/externalLinkPath" Target="file:///\\966E7799\Objetos%20de%20Dominio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Objeto%20Dominio%20N?966E7799" TargetMode="External"/><Relationship Id="rId1" Type="http://schemas.openxmlformats.org/officeDocument/2006/relationships/externalLinkPath" Target="file:///\\966E7799\Objeto%20Dominio%20N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Muestreo%20Reporte?966E7799" TargetMode="External"/><Relationship Id="rId1" Type="http://schemas.openxmlformats.org/officeDocument/2006/relationships/externalLinkPath" Target="file:///\\966E7799\Muestreo%20Reporte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Objeto%20Dominio%202?966E7799" TargetMode="External"/><Relationship Id="rId1" Type="http://schemas.openxmlformats.org/officeDocument/2006/relationships/externalLinkPath" Target="file:///\\966E7799\Objeto%20Dominio%202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Muestreo%20Abastecimiento?966E7799" TargetMode="External"/><Relationship Id="rId1" Type="http://schemas.openxmlformats.org/officeDocument/2006/relationships/externalLinkPath" Target="file:///\\966E7799\Muestreo%20Abastecimient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tos de Dominio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to Dominio 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estreo Report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to Dominio 2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estreo Abastecimiento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DB0D0A1-F6F6-4B81-8F63-F86160B8D07A}" name="Tabla225" displayName="Tabla225" ref="A1:C5" totalsRowShown="0">
  <autoFilter ref="A1:C5" xr:uid="{E1B78555-BB7D-46B9-A0D9-CD2011D52EF6}"/>
  <tableColumns count="3">
    <tableColumn id="1" xr3:uid="{A44255BE-A7C3-4B43-8F4A-89B69E4D9F86}" name="Nombre" dataDxfId="16"/>
    <tableColumn id="7" xr3:uid="{726675FE-6833-4A01-A6EF-C5F6A1168112}" name="Muestreo" dataDxfId="15"/>
    <tableColumn id="2" xr3:uid="{6BE21CF8-D40B-4DA9-98D1-20887D3968FC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7D5A11-1392-46D2-B60C-9183EBFE9D0F}" name="Tabla4" displayName="Tabla4" ref="E3:I7" totalsRowShown="0" headerRowDxfId="14">
  <autoFilter ref="E3:I7" xr:uid="{277D5A11-1392-46D2-B60C-9183EBFE9D0F}"/>
  <tableColumns count="5">
    <tableColumn id="1" xr3:uid="{DC3AC5DD-9EB4-4D21-91C0-7121DBF1BEAE}" name="Id"/>
    <tableColumn id="2" xr3:uid="{0F123E87-7E2C-4127-B37A-EA9189ED3204}" name="Nombre"/>
    <tableColumn id="3" xr3:uid="{9CB546BD-1447-4C84-A88F-93C008D613B4}" name="Telefono"/>
    <tableColumn id="4" xr3:uid="{2C67F048-26D1-4A0F-B7F9-6D306B3046DC}" name="Usuario_Visitante"/>
    <tableColumn id="5" xr3:uid="{C9A61148-F6BC-4637-92B4-F29826FCE3FD}" name="Especial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131E2-80CB-455A-9AA0-E7EC69DFB134}" name="Tabla2" displayName="Tabla2" ref="D3:I13" totalsRowShown="0" headerRowDxfId="13">
  <autoFilter ref="D3:I13" xr:uid="{BD6131E2-80CB-455A-9AA0-E7EC69DFB134}"/>
  <tableColumns count="6">
    <tableColumn id="1" xr3:uid="{20CD72A6-AB6A-43C9-87EC-FE2E22DAF748}" name="IdUsuarioVisitante" dataDxfId="12"/>
    <tableColumn id="2" xr3:uid="{F3659B54-69C3-4DD5-B0EC-A13669194949}" name="NumeroTelefono"/>
    <tableColumn id="3" xr3:uid="{A38E0E64-A525-44C9-B88F-0625E64B5411}" name="Nombre"/>
    <tableColumn id="4" xr3:uid="{486B6A67-60F2-43F1-BDA0-5686054C02F4}" name="FechaPrimerContacto" dataDxfId="11"/>
    <tableColumn id="5" xr3:uid="{5984C3EC-7D73-4AF5-9BE7-0FCC2D60BFE9}" name="FechaUltimaInteracción" dataDxfId="10"/>
    <tableColumn id="6" xr3:uid="{EF6E1D76-A27E-410F-81F2-EC97AD760C2C}" name="EstadoConvers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2F9A2D-D4AE-4CFD-999C-1AFCBE164561}" name="Tabla3" displayName="Tabla3" ref="B3:F7" totalsRowShown="0" headerRowDxfId="9">
  <autoFilter ref="B3:F7" xr:uid="{F42F9A2D-D4AE-4CFD-999C-1AFCBE164561}"/>
  <tableColumns count="5">
    <tableColumn id="1" xr3:uid="{0DCBF066-8844-400F-8DA4-C1E817566390}" name="id"/>
    <tableColumn id="2" xr3:uid="{55688F7F-CC14-4770-B037-4140D4F9EBB1}" name="pregunta"/>
    <tableColumn id="3" xr3:uid="{AD463DCF-CED7-4F9B-828C-650D18062460}" name="respuesta"/>
    <tableColumn id="4" xr3:uid="{8FFE53F4-5708-46AE-ADEA-93FD191BC073}" name="fecha_creacion"/>
    <tableColumn id="5" xr3:uid="{3FD3D092-B589-4161-BC14-89CDACBD55E2}" name="fecha_modific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DE305-2A2A-40FC-8454-967459F704E8}" name="Tabla1" displayName="Tabla1" ref="C3:I7" totalsRowShown="0" headerRowDxfId="8" dataDxfId="7">
  <autoFilter ref="C3:I7" xr:uid="{E22DE305-2A2A-40FC-8454-967459F704E8}"/>
  <tableColumns count="7">
    <tableColumn id="1" xr3:uid="{42D4C550-55C0-459B-8F59-4C13CADC1642}" name="idPaginaWeb" dataDxfId="6"/>
    <tableColumn id="2" xr3:uid="{D06BCF0C-F997-48AB-AF60-6EFC7AAC72E1}" name="url" dataDxfId="5" dataCellStyle="Hyperlink"/>
    <tableColumn id="3" xr3:uid="{51E4593C-2A49-4941-A96F-07176035E56C}" name="titulo" dataDxfId="4"/>
    <tableColumn id="4" xr3:uid="{0564AB0F-311B-40CD-896E-85C1C0E1AB0C}" name="descripcion" dataDxfId="3"/>
    <tableColumn id="5" xr3:uid="{70FDD853-1FC8-4491-9992-C96654660ACE}" name="fechaCreacion" dataDxfId="2"/>
    <tableColumn id="6" xr3:uid="{A9EB349E-BCBE-45D3-812C-7673C2E3F4BB}" name="fechaModificacion" dataDxfId="1"/>
    <tableColumn id="7" xr3:uid="{49AFD467-81E8-4C25-81A1-366DB9B5B700}" name="etiquetaPregunta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miempresa.com/estado-pedido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miempresa.com/productos" TargetMode="External"/><Relationship Id="rId2" Type="http://schemas.openxmlformats.org/officeDocument/2006/relationships/hyperlink" Target="https://miempresa.com/contacto" TargetMode="External"/><Relationship Id="rId1" Type="http://schemas.openxmlformats.org/officeDocument/2006/relationships/hyperlink" Target="https://miempresa.com/inicio" TargetMode="External"/><Relationship Id="rId5" Type="http://schemas.openxmlformats.org/officeDocument/2006/relationships/table" Target="../tables/table5.xml"/><Relationship Id="rId4" Type="http://schemas.openxmlformats.org/officeDocument/2006/relationships/hyperlink" Target="https://miempresa.com/f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:S25"/>
  <sheetViews>
    <sheetView topLeftCell="A10" zoomScale="98" zoomScaleNormal="98" workbookViewId="0">
      <selection activeCell="S25" sqref="S25"/>
    </sheetView>
  </sheetViews>
  <sheetFormatPr defaultColWidth="11.42578125" defaultRowHeight="15"/>
  <cols>
    <col min="1" max="16384" width="11.42578125" style="2"/>
  </cols>
  <sheetData>
    <row r="1" spans="1:7">
      <c r="A1"/>
      <c r="G1"/>
    </row>
    <row r="2" spans="1:7">
      <c r="A2"/>
    </row>
    <row r="8" spans="1:7">
      <c r="C8"/>
    </row>
    <row r="18" spans="3:19">
      <c r="C18"/>
      <c r="E18"/>
    </row>
    <row r="25" spans="3:19">
      <c r="F25"/>
      <c r="K25"/>
      <c r="S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91F8-11C2-417E-9766-693FE54F8D19}">
  <dimension ref="A1:C5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ColWidth="11.42578125" defaultRowHeight="15"/>
  <cols>
    <col min="1" max="2" width="20.85546875" style="25" customWidth="1"/>
    <col min="3" max="3" width="80.7109375" style="26" customWidth="1"/>
    <col min="4" max="16384" width="11.42578125" style="1"/>
  </cols>
  <sheetData>
    <row r="1" spans="1:3">
      <c r="A1" s="47" t="s">
        <v>0</v>
      </c>
      <c r="B1" s="52" t="s">
        <v>1</v>
      </c>
      <c r="C1" s="48" t="s">
        <v>2</v>
      </c>
    </row>
    <row r="2" spans="1:3" ht="30.75">
      <c r="A2" s="56" t="s">
        <v>3</v>
      </c>
      <c r="B2" s="55" t="s">
        <v>4</v>
      </c>
      <c r="C2" s="51" t="s">
        <v>5</v>
      </c>
    </row>
    <row r="3" spans="1:3" ht="30.75">
      <c r="A3" s="56" t="s">
        <v>6</v>
      </c>
      <c r="B3" s="55" t="s">
        <v>4</v>
      </c>
      <c r="C3" s="51" t="s">
        <v>7</v>
      </c>
    </row>
    <row r="4" spans="1:3" ht="30.75">
      <c r="A4" s="56" t="s">
        <v>8</v>
      </c>
      <c r="B4" s="55" t="s">
        <v>4</v>
      </c>
      <c r="C4" s="51" t="s">
        <v>9</v>
      </c>
    </row>
    <row r="5" spans="1:3" ht="30.75">
      <c r="A5" s="31" t="s">
        <v>10</v>
      </c>
      <c r="B5" s="55" t="s">
        <v>4</v>
      </c>
      <c r="C5" s="51" t="s">
        <v>11</v>
      </c>
    </row>
  </sheetData>
  <hyperlinks>
    <hyperlink ref="A2" location="'Asesor'!A1" display="Asesor" xr:uid="{57E70A1B-4B5C-48D0-BBF6-BA3A21313711}"/>
    <hyperlink ref="A3" location="'Preguntas Frecuentes'!A1" display="Preguntas Frecuentes" xr:uid="{758CD613-4B3C-4D36-811D-F91956AAC491}"/>
    <hyperlink ref="A4" location="'Pagina Web'!A1" display="Pagina Web" xr:uid="{A8357584-7A9C-4D52-A809-83D06FC12D81}"/>
    <hyperlink ref="B2" location="'Muestreo Asesor'!A1" display="&lt;&lt;muestreo&gt;&gt;" xr:uid="{17CB429D-DF3A-414D-8E4C-FB4B987A1DC8}"/>
    <hyperlink ref="B3" location="'Muestreo Preguntas Frecuentes'!A1" display="&lt;&lt;muestreo&gt;&gt;" xr:uid="{42F9C3F1-A33E-4E01-A60E-59F7A3C9699F}"/>
    <hyperlink ref="B4" location="'Muestreo Pagina Web'!A1" display="&lt;&lt;muestreo&gt;&gt;" xr:uid="{212E81D3-E6DE-401A-923E-C10E59C41723}"/>
    <hyperlink ref="B5" location="'Muestreo Usuario Visitante'!A1" display="&lt;&lt;muestreo&gt;&gt;" xr:uid="{9C8A4B7A-7118-41DA-9765-C99D15067F2D}"/>
    <hyperlink ref="A5" location="'Usuario Visitante'!A1" display="Usuario Visitante" xr:uid="{22BF0CD1-39C9-44E9-BB08-8226C1279F13}"/>
  </hyperlinks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69DD-42B7-4CEE-B2D4-F4B7910273D1}">
  <sheetPr>
    <tabColor rgb="FFFF0000"/>
  </sheetPr>
  <dimension ref="A1:U19"/>
  <sheetViews>
    <sheetView topLeftCell="P5" zoomScale="70" zoomScaleNormal="70" workbookViewId="0">
      <selection activeCell="Q20" sqref="Q19:Q20"/>
    </sheetView>
  </sheetViews>
  <sheetFormatPr defaultColWidth="11.42578125" defaultRowHeight="15"/>
  <cols>
    <col min="1" max="1" width="23.85546875" style="1" bestFit="1" customWidth="1"/>
    <col min="2" max="2" width="51.42578125" style="1" customWidth="1"/>
    <col min="3" max="3" width="31" style="1" customWidth="1"/>
    <col min="4" max="4" width="18.85546875" style="1" bestFit="1" customWidth="1"/>
    <col min="5" max="5" width="11.5703125" style="1" bestFit="1" customWidth="1"/>
    <col min="6" max="6" width="66.42578125" style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30.42578125" style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38.140625" style="1" customWidth="1"/>
    <col min="16" max="16" width="94.42578125" style="1" bestFit="1" customWidth="1"/>
    <col min="17" max="17" width="132.5703125" style="1" bestFit="1" customWidth="1"/>
    <col min="18" max="18" width="67.7109375" style="1" customWidth="1"/>
    <col min="19" max="19" width="52.28515625" style="1" bestFit="1" customWidth="1"/>
    <col min="20" max="16384" width="11.42578125" style="1"/>
  </cols>
  <sheetData>
    <row r="1" spans="1:18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8">
      <c r="A2" s="3" t="s">
        <v>13</v>
      </c>
      <c r="B2" s="92" t="str">
        <f>'Listado Objetos de Dominio'!A2</f>
        <v>Asesor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8" ht="15.75" customHeight="1">
      <c r="A3" s="3" t="s">
        <v>14</v>
      </c>
      <c r="B3" s="92" t="str">
        <f>'Listado Objetos de Dominio'!$C$2</f>
        <v xml:space="preserve">Entidad que representa a un asesor encargado de interactuar con los usuarios a través del chatbot. 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8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9" t="s">
        <v>2</v>
      </c>
      <c r="Q4" s="23" t="str">
        <f>A17</f>
        <v xml:space="preserve">Responder los mensajes a los usuarios </v>
      </c>
    </row>
    <row r="5" spans="1:18">
      <c r="A5" s="10" t="s">
        <v>30</v>
      </c>
      <c r="B5" s="4" t="s">
        <v>31</v>
      </c>
      <c r="C5" s="4"/>
      <c r="D5" s="4"/>
      <c r="E5" s="4"/>
      <c r="F5" s="4"/>
      <c r="G5" s="4"/>
      <c r="H5" s="4" t="s">
        <v>32</v>
      </c>
      <c r="I5" s="4" t="s">
        <v>33</v>
      </c>
      <c r="J5" s="6" t="s">
        <v>34</v>
      </c>
      <c r="K5" s="11" t="s">
        <v>35</v>
      </c>
      <c r="L5" s="4" t="s">
        <v>36</v>
      </c>
      <c r="M5" s="4" t="s">
        <v>37</v>
      </c>
      <c r="N5" s="4" t="s">
        <v>36</v>
      </c>
      <c r="O5" s="4" t="s">
        <v>37</v>
      </c>
      <c r="P5" s="6" t="s">
        <v>38</v>
      </c>
      <c r="Q5" s="21" t="s">
        <v>37</v>
      </c>
    </row>
    <row r="6" spans="1:18">
      <c r="A6" s="10" t="s">
        <v>0</v>
      </c>
      <c r="B6" s="4" t="s">
        <v>39</v>
      </c>
      <c r="C6" s="4">
        <v>2</v>
      </c>
      <c r="D6" s="4">
        <v>100</v>
      </c>
      <c r="E6" s="4"/>
      <c r="F6" s="4"/>
      <c r="G6" s="4"/>
      <c r="H6" s="4" t="s">
        <v>40</v>
      </c>
      <c r="I6" s="4"/>
      <c r="J6" s="6" t="s">
        <v>41</v>
      </c>
      <c r="K6" s="11" t="s">
        <v>36</v>
      </c>
      <c r="L6" s="4" t="s">
        <v>36</v>
      </c>
      <c r="M6" s="4" t="s">
        <v>37</v>
      </c>
      <c r="N6" s="4" t="s">
        <v>36</v>
      </c>
      <c r="O6" s="4" t="s">
        <v>36</v>
      </c>
      <c r="P6" s="6" t="s">
        <v>42</v>
      </c>
      <c r="Q6" s="21" t="s">
        <v>36</v>
      </c>
    </row>
    <row r="7" spans="1:18">
      <c r="A7" s="10" t="s">
        <v>43</v>
      </c>
      <c r="B7" s="49" t="s">
        <v>44</v>
      </c>
      <c r="C7" s="4">
        <v>7</v>
      </c>
      <c r="D7" s="4">
        <v>15</v>
      </c>
      <c r="E7" s="4"/>
      <c r="F7" s="4"/>
      <c r="G7" s="4"/>
      <c r="H7" s="4" t="s">
        <v>45</v>
      </c>
      <c r="I7" s="4"/>
      <c r="J7" s="4"/>
      <c r="K7" s="11" t="s">
        <v>36</v>
      </c>
      <c r="L7" s="4" t="s">
        <v>36</v>
      </c>
      <c r="M7" s="4" t="s">
        <v>36</v>
      </c>
      <c r="N7" s="4" t="s">
        <v>37</v>
      </c>
      <c r="O7" s="4" t="s">
        <v>36</v>
      </c>
      <c r="P7" s="6" t="s">
        <v>46</v>
      </c>
      <c r="Q7" s="21" t="s">
        <v>36</v>
      </c>
    </row>
    <row r="8" spans="1:18">
      <c r="A8" s="10" t="s">
        <v>47</v>
      </c>
      <c r="B8" s="146" t="s">
        <v>47</v>
      </c>
      <c r="C8" s="4"/>
      <c r="D8" s="4"/>
      <c r="E8" s="4"/>
      <c r="F8" s="4"/>
      <c r="G8" s="4"/>
      <c r="H8" s="4" t="s">
        <v>48</v>
      </c>
      <c r="I8" s="4"/>
      <c r="J8" s="4" t="s">
        <v>49</v>
      </c>
      <c r="K8" s="11" t="s">
        <v>36</v>
      </c>
      <c r="L8" s="4" t="s">
        <v>36</v>
      </c>
      <c r="M8" s="4" t="s">
        <v>36</v>
      </c>
      <c r="N8" s="4" t="s">
        <v>36</v>
      </c>
      <c r="O8" s="4" t="s">
        <v>36</v>
      </c>
      <c r="P8" s="6" t="s">
        <v>50</v>
      </c>
      <c r="Q8" s="21" t="s">
        <v>36</v>
      </c>
    </row>
    <row r="9" spans="1:18">
      <c r="A9" s="10" t="s">
        <v>51</v>
      </c>
      <c r="B9" s="4" t="s">
        <v>52</v>
      </c>
      <c r="C9" s="4" t="s">
        <v>53</v>
      </c>
      <c r="D9" s="4">
        <v>50</v>
      </c>
      <c r="E9" s="4"/>
      <c r="F9" s="4"/>
      <c r="G9" s="4"/>
      <c r="H9" s="4" t="s">
        <v>40</v>
      </c>
      <c r="I9" s="4" t="s">
        <v>54</v>
      </c>
      <c r="J9" s="4" t="s">
        <v>55</v>
      </c>
      <c r="K9" s="11" t="s">
        <v>36</v>
      </c>
      <c r="L9" s="4" t="s">
        <v>36</v>
      </c>
      <c r="M9" s="4" t="s">
        <v>36</v>
      </c>
      <c r="N9" s="4" t="s">
        <v>36</v>
      </c>
      <c r="O9" s="4" t="s">
        <v>36</v>
      </c>
      <c r="P9" s="6" t="s">
        <v>56</v>
      </c>
      <c r="Q9" s="21" t="s">
        <v>36</v>
      </c>
    </row>
    <row r="11" spans="1:18">
      <c r="A11" s="93" t="s">
        <v>57</v>
      </c>
      <c r="B11" s="94"/>
      <c r="C11" s="95"/>
    </row>
    <row r="12" spans="1:18">
      <c r="A12" s="16" t="s">
        <v>58</v>
      </c>
      <c r="B12" s="15" t="s">
        <v>2</v>
      </c>
      <c r="C12" s="17" t="s">
        <v>59</v>
      </c>
    </row>
    <row r="13" spans="1:18" ht="39" customHeight="1">
      <c r="A13" s="13" t="s">
        <v>60</v>
      </c>
      <c r="B13" s="30" t="s">
        <v>61</v>
      </c>
      <c r="C13" s="24" t="s">
        <v>30</v>
      </c>
    </row>
    <row r="15" spans="1:18">
      <c r="A15" s="96" t="s">
        <v>62</v>
      </c>
      <c r="B15" s="97"/>
      <c r="C15" s="97" t="s">
        <v>2</v>
      </c>
      <c r="D15" s="97"/>
      <c r="E15" s="97"/>
      <c r="F15" s="97"/>
      <c r="G15" s="97" t="s">
        <v>63</v>
      </c>
      <c r="H15" s="97"/>
      <c r="I15" s="97"/>
      <c r="J15" s="97" t="s">
        <v>64</v>
      </c>
      <c r="K15" s="97"/>
      <c r="L15" s="97"/>
      <c r="M15" s="97"/>
      <c r="N15" s="97"/>
      <c r="O15" s="97" t="s">
        <v>65</v>
      </c>
      <c r="P15" s="97"/>
      <c r="Q15" s="88" t="s">
        <v>66</v>
      </c>
      <c r="R15" s="89"/>
    </row>
    <row r="16" spans="1:18" ht="14.25" customHeight="1">
      <c r="A16" s="98"/>
      <c r="B16" s="90"/>
      <c r="C16" s="90"/>
      <c r="D16" s="90"/>
      <c r="E16" s="90"/>
      <c r="F16" s="90"/>
      <c r="G16" s="18" t="s">
        <v>67</v>
      </c>
      <c r="H16" s="18" t="s">
        <v>68</v>
      </c>
      <c r="I16" s="18" t="s">
        <v>2</v>
      </c>
      <c r="J16" s="18" t="s">
        <v>16</v>
      </c>
      <c r="K16" s="90" t="s">
        <v>2</v>
      </c>
      <c r="L16" s="90"/>
      <c r="M16" s="90"/>
      <c r="N16" s="90"/>
      <c r="O16" s="18" t="s">
        <v>69</v>
      </c>
      <c r="P16" s="18" t="s">
        <v>2</v>
      </c>
      <c r="Q16" s="18" t="s">
        <v>70</v>
      </c>
      <c r="R16" s="20" t="s">
        <v>71</v>
      </c>
    </row>
    <row r="17" spans="1:21" s="57" customFormat="1" ht="45.75">
      <c r="A17" s="82" t="s">
        <v>72</v>
      </c>
      <c r="B17" s="83"/>
      <c r="C17" s="82" t="s">
        <v>73</v>
      </c>
      <c r="D17" s="84"/>
      <c r="E17" s="84"/>
      <c r="F17" s="83"/>
      <c r="G17" s="58" t="s">
        <v>74</v>
      </c>
      <c r="H17" s="59" t="s">
        <v>40</v>
      </c>
      <c r="I17" s="60" t="s">
        <v>75</v>
      </c>
      <c r="J17" s="61" t="s">
        <v>76</v>
      </c>
      <c r="K17" s="85" t="s">
        <v>77</v>
      </c>
      <c r="L17" s="86"/>
      <c r="M17" s="86"/>
      <c r="N17" s="87"/>
      <c r="O17" s="62" t="s">
        <v>78</v>
      </c>
      <c r="P17" s="62" t="s">
        <v>79</v>
      </c>
      <c r="Q17" s="63" t="s">
        <v>80</v>
      </c>
      <c r="R17" s="147" t="s">
        <v>81</v>
      </c>
      <c r="S17" s="1"/>
      <c r="T17" s="1"/>
      <c r="U17" s="1"/>
    </row>
    <row r="19" spans="1:21">
      <c r="A19" s="53" t="s">
        <v>82</v>
      </c>
    </row>
  </sheetData>
  <mergeCells count="14"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A17:B17"/>
    <mergeCell ref="C17:F17"/>
    <mergeCell ref="K17:N17"/>
    <mergeCell ref="Q15:R15"/>
    <mergeCell ref="K16:N16"/>
  </mergeCells>
  <hyperlinks>
    <hyperlink ref="A1" location="'Objetos de Dominio'!A1" display="Volver al inicio" xr:uid="{7B461AC5-3A7D-42B7-B27D-9CD5B4F5885C}"/>
    <hyperlink ref="Q4" location="'Objeto Dominio N'!A16" display="'Objeto Dominio N'!A16" xr:uid="{43C78B9E-BB58-4FB6-AC61-543542997B2C}"/>
    <hyperlink ref="A1:P1" location="'Listado Objetos de Dominio'!A1" display="&lt;-Volver al inicio" xr:uid="{608DCB42-755C-4296-8F1E-737E80435DDE}"/>
    <hyperlink ref="A19" location="'Muestreo Reporte'!A1" display="&lt;&lt;Muestreo de datos&gt;&gt;" xr:uid="{86A77400-FF24-43CC-B139-90B6A537A222}"/>
    <hyperlink ref="B8" location="'Usuario Visitante'!A1" display="Usuario_Visitante" xr:uid="{665EB584-1303-4D9D-955E-996187B21ABD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03-DD6C-4B14-9BF3-D005008043E2}">
  <sheetPr>
    <tabColor rgb="FFFF0000"/>
  </sheetPr>
  <dimension ref="A1:P7"/>
  <sheetViews>
    <sheetView workbookViewId="0">
      <selection activeCell="F12" sqref="F12"/>
    </sheetView>
  </sheetViews>
  <sheetFormatPr defaultColWidth="9.140625" defaultRowHeight="15"/>
  <cols>
    <col min="6" max="6" width="19.28515625" bestFit="1" customWidth="1"/>
    <col min="7" max="7" width="44.7109375" customWidth="1"/>
    <col min="8" max="8" width="21.140625" bestFit="1" customWidth="1"/>
    <col min="9" max="9" width="22.85546875" bestFit="1" customWidth="1"/>
    <col min="10" max="10" width="15.140625" bestFit="1" customWidth="1"/>
    <col min="11" max="11" width="21.140625" bestFit="1" customWidth="1"/>
  </cols>
  <sheetData>
    <row r="1" spans="1:16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3" spans="1:16">
      <c r="E3" s="72" t="s">
        <v>30</v>
      </c>
      <c r="F3" s="72" t="s">
        <v>0</v>
      </c>
      <c r="G3" s="72" t="s">
        <v>43</v>
      </c>
      <c r="H3" s="72" t="s">
        <v>47</v>
      </c>
      <c r="I3" s="72" t="s">
        <v>51</v>
      </c>
    </row>
    <row r="4" spans="1:16">
      <c r="E4">
        <v>1</v>
      </c>
      <c r="F4" t="s">
        <v>83</v>
      </c>
      <c r="G4">
        <v>3001112233</v>
      </c>
      <c r="H4" s="73">
        <v>1002</v>
      </c>
      <c r="I4" t="s">
        <v>84</v>
      </c>
    </row>
    <row r="5" spans="1:16">
      <c r="E5">
        <v>2</v>
      </c>
      <c r="F5" t="s">
        <v>85</v>
      </c>
      <c r="G5">
        <v>3001223344</v>
      </c>
      <c r="H5" s="73">
        <v>1003</v>
      </c>
      <c r="I5" t="s">
        <v>86</v>
      </c>
    </row>
    <row r="6" spans="1:16">
      <c r="E6">
        <v>3</v>
      </c>
      <c r="F6" t="s">
        <v>87</v>
      </c>
      <c r="G6">
        <v>3005556677</v>
      </c>
      <c r="H6" s="73">
        <v>1004</v>
      </c>
      <c r="I6" t="s">
        <v>88</v>
      </c>
    </row>
    <row r="7" spans="1:16">
      <c r="E7">
        <v>4</v>
      </c>
      <c r="F7" t="s">
        <v>89</v>
      </c>
      <c r="G7">
        <v>3002224455</v>
      </c>
      <c r="H7" s="73">
        <v>1005</v>
      </c>
      <c r="I7" t="s">
        <v>84</v>
      </c>
    </row>
  </sheetData>
  <mergeCells count="1">
    <mergeCell ref="A1:P1"/>
  </mergeCells>
  <hyperlinks>
    <hyperlink ref="A1" location="'Objetos de Dominio'!A1" display="Volver al inicio" xr:uid="{FA0E0301-E563-4C9F-8214-DBACC171ADD2}"/>
    <hyperlink ref="A1:P1" location="'Listado Objetos de Dominio'!A1" display="&lt;-Volver al inicio" xr:uid="{78DDB204-426D-47E7-8C7D-51E713678B29}"/>
    <hyperlink ref="H4" location="'Muestreo Usuario Visitante'!A1" display="1002" xr:uid="{2D0EFBB8-1E5E-4023-9BA5-E225ECC2783F}"/>
    <hyperlink ref="H5" location="'Muestreo Usuario Visitante'!A1" display="1003" xr:uid="{DF65CAD9-36A8-4E2A-866F-1419D9808C30}"/>
    <hyperlink ref="H6" location="'Muestreo Usuario Visitante'!A1" display="1004" xr:uid="{C3DDB426-7E8F-45D9-9C73-8ACB759AC2BF}"/>
    <hyperlink ref="H7" location="'Muestreo Usuario Visitante'!A1" display="1005" xr:uid="{0F4A97BD-0CB5-431F-91DC-96C930AED7EF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CFB-D41F-4B34-BB06-72678278A450}">
  <sheetPr>
    <tabColor rgb="FFFFFF00"/>
  </sheetPr>
  <dimension ref="A1:R22"/>
  <sheetViews>
    <sheetView zoomScale="96" zoomScaleNormal="96" workbookViewId="0">
      <selection activeCell="B6" sqref="B6"/>
    </sheetView>
  </sheetViews>
  <sheetFormatPr defaultColWidth="11.42578125" defaultRowHeight="15"/>
  <cols>
    <col min="1" max="1" width="34.5703125" style="1" customWidth="1"/>
    <col min="2" max="2" width="26" style="1" customWidth="1"/>
    <col min="3" max="3" width="32.7109375" style="1" customWidth="1"/>
    <col min="4" max="4" width="18.85546875" style="1" bestFit="1" customWidth="1"/>
    <col min="5" max="5" width="11.5703125" style="1" bestFit="1" customWidth="1"/>
    <col min="6" max="6" width="37" style="1" customWidth="1"/>
    <col min="7" max="7" width="28.5703125" style="1" bestFit="1" customWidth="1"/>
    <col min="8" max="8" width="23.5703125" style="1" customWidth="1"/>
    <col min="9" max="9" width="79.28515625" style="1" bestFit="1" customWidth="1"/>
    <col min="10" max="10" width="43.42578125" style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49" style="1" customWidth="1"/>
    <col min="16" max="16" width="94.42578125" style="1" bestFit="1" customWidth="1"/>
    <col min="17" max="17" width="132.5703125" style="1" bestFit="1" customWidth="1"/>
    <col min="18" max="18" width="84.5703125" style="1" customWidth="1"/>
    <col min="19" max="19" width="50.140625" style="1" bestFit="1" customWidth="1"/>
    <col min="20" max="20" width="52.28515625" style="1" bestFit="1" customWidth="1"/>
    <col min="21" max="16384" width="11.42578125" style="1"/>
  </cols>
  <sheetData>
    <row r="1" spans="1:18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8">
      <c r="A2" s="3" t="s">
        <v>13</v>
      </c>
      <c r="B2" s="99" t="str">
        <f>'Listado Objetos de Dominio'!A5</f>
        <v>Usuario Visitante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spans="1:18">
      <c r="A3" s="3" t="s">
        <v>14</v>
      </c>
      <c r="B3" s="100" t="str">
        <f>'Listado Objetos de Dominio'!$C$5</f>
        <v>Entidad que representa a los usuarios que interactúan con el chatbot de manera anónima o sin estar registrados.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1:18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9" t="s">
        <v>2</v>
      </c>
      <c r="Q4" s="22" t="str">
        <f>A18</f>
        <v>Iniciar Chat</v>
      </c>
    </row>
    <row r="5" spans="1:18">
      <c r="A5" s="10" t="s">
        <v>90</v>
      </c>
      <c r="B5" s="6" t="s">
        <v>91</v>
      </c>
      <c r="C5" s="4">
        <v>1</v>
      </c>
      <c r="D5" s="4">
        <v>20</v>
      </c>
      <c r="E5" s="4"/>
      <c r="F5" s="4"/>
      <c r="G5" s="4"/>
      <c r="H5" s="4"/>
      <c r="I5" s="4"/>
      <c r="J5" s="12" t="s">
        <v>92</v>
      </c>
      <c r="K5" s="11" t="s">
        <v>35</v>
      </c>
      <c r="L5" s="4" t="s">
        <v>36</v>
      </c>
      <c r="M5" s="4" t="s">
        <v>37</v>
      </c>
      <c r="N5" s="4" t="s">
        <v>36</v>
      </c>
      <c r="O5" s="4" t="s">
        <v>37</v>
      </c>
      <c r="P5" s="27" t="s">
        <v>93</v>
      </c>
      <c r="Q5" s="44" t="s">
        <v>94</v>
      </c>
    </row>
    <row r="6" spans="1:18">
      <c r="A6" s="10" t="s">
        <v>95</v>
      </c>
      <c r="B6" s="4" t="s">
        <v>91</v>
      </c>
      <c r="C6" s="4">
        <v>10</v>
      </c>
      <c r="D6" s="4" t="s">
        <v>96</v>
      </c>
      <c r="E6" s="4"/>
      <c r="F6" s="4"/>
      <c r="G6" s="4"/>
      <c r="H6" s="4"/>
      <c r="I6" s="4"/>
      <c r="J6" s="12" t="s">
        <v>97</v>
      </c>
      <c r="K6" s="11" t="s">
        <v>36</v>
      </c>
      <c r="L6" s="4" t="s">
        <v>36</v>
      </c>
      <c r="M6" s="4" t="s">
        <v>37</v>
      </c>
      <c r="N6" s="4" t="s">
        <v>37</v>
      </c>
      <c r="O6" s="4" t="s">
        <v>36</v>
      </c>
      <c r="P6" s="27" t="s">
        <v>98</v>
      </c>
      <c r="Q6" s="44" t="s">
        <v>94</v>
      </c>
    </row>
    <row r="7" spans="1:18">
      <c r="A7" s="10" t="s">
        <v>0</v>
      </c>
      <c r="B7" s="6" t="s">
        <v>39</v>
      </c>
      <c r="C7" s="4">
        <v>1</v>
      </c>
      <c r="D7" s="37">
        <v>255</v>
      </c>
      <c r="E7" s="4"/>
      <c r="F7" s="4"/>
      <c r="G7" s="4"/>
      <c r="H7" s="4"/>
      <c r="I7" s="4"/>
      <c r="J7" s="12" t="s">
        <v>99</v>
      </c>
      <c r="K7" s="11" t="s">
        <v>36</v>
      </c>
      <c r="L7" s="4" t="s">
        <v>36</v>
      </c>
      <c r="M7" s="4" t="s">
        <v>37</v>
      </c>
      <c r="N7" s="4" t="s">
        <v>36</v>
      </c>
      <c r="O7" s="4" t="s">
        <v>36</v>
      </c>
      <c r="P7" s="27" t="s">
        <v>100</v>
      </c>
      <c r="Q7" s="44" t="s">
        <v>94</v>
      </c>
    </row>
    <row r="8" spans="1:18">
      <c r="A8" s="10" t="s">
        <v>101</v>
      </c>
      <c r="B8" s="6" t="s">
        <v>102</v>
      </c>
      <c r="C8" s="11" t="s">
        <v>103</v>
      </c>
      <c r="D8" s="11" t="s">
        <v>103</v>
      </c>
      <c r="E8" s="11" t="s">
        <v>103</v>
      </c>
      <c r="F8" s="11" t="s">
        <v>103</v>
      </c>
      <c r="G8" s="11" t="s">
        <v>103</v>
      </c>
      <c r="H8" s="4"/>
      <c r="I8" s="4"/>
      <c r="J8" s="5" t="s">
        <v>36</v>
      </c>
      <c r="K8" s="11" t="s">
        <v>35</v>
      </c>
      <c r="L8" s="4" t="s">
        <v>35</v>
      </c>
      <c r="M8" s="4" t="s">
        <v>37</v>
      </c>
      <c r="N8" s="4" t="s">
        <v>35</v>
      </c>
      <c r="O8" s="4" t="s">
        <v>36</v>
      </c>
      <c r="P8" s="27" t="s">
        <v>104</v>
      </c>
      <c r="Q8" s="44" t="s">
        <v>94</v>
      </c>
    </row>
    <row r="9" spans="1:18">
      <c r="A9" s="10" t="s">
        <v>105</v>
      </c>
      <c r="B9" s="29" t="s">
        <v>102</v>
      </c>
      <c r="C9" s="11" t="s">
        <v>103</v>
      </c>
      <c r="D9" s="11" t="s">
        <v>103</v>
      </c>
      <c r="E9" s="11" t="s">
        <v>103</v>
      </c>
      <c r="F9" s="11" t="s">
        <v>103</v>
      </c>
      <c r="G9" s="11" t="s">
        <v>103</v>
      </c>
      <c r="H9" s="36" t="s">
        <v>106</v>
      </c>
      <c r="I9" s="4"/>
      <c r="J9" s="5" t="s">
        <v>36</v>
      </c>
      <c r="K9" s="11" t="s">
        <v>35</v>
      </c>
      <c r="L9" s="4" t="s">
        <v>36</v>
      </c>
      <c r="M9" s="4" t="s">
        <v>37</v>
      </c>
      <c r="N9" s="4" t="s">
        <v>35</v>
      </c>
      <c r="O9" s="4" t="s">
        <v>36</v>
      </c>
      <c r="P9" s="27" t="s">
        <v>107</v>
      </c>
      <c r="Q9" s="44" t="s">
        <v>108</v>
      </c>
    </row>
    <row r="10" spans="1:18">
      <c r="A10" s="10" t="s">
        <v>109</v>
      </c>
      <c r="B10" s="4" t="s">
        <v>110</v>
      </c>
      <c r="C10" s="4" t="s">
        <v>103</v>
      </c>
      <c r="D10" s="4" t="s">
        <v>103</v>
      </c>
      <c r="E10" s="4" t="s">
        <v>103</v>
      </c>
      <c r="F10" s="4" t="s">
        <v>111</v>
      </c>
      <c r="G10" s="4" t="s">
        <v>112</v>
      </c>
      <c r="H10" s="36" t="s">
        <v>113</v>
      </c>
      <c r="I10" s="4"/>
      <c r="J10" s="5" t="s">
        <v>92</v>
      </c>
      <c r="K10" s="11" t="s">
        <v>36</v>
      </c>
      <c r="L10" s="4" t="s">
        <v>36</v>
      </c>
      <c r="M10" s="4" t="s">
        <v>37</v>
      </c>
      <c r="N10" s="4" t="s">
        <v>36</v>
      </c>
      <c r="O10" s="4" t="s">
        <v>36</v>
      </c>
      <c r="P10" s="27" t="s">
        <v>114</v>
      </c>
      <c r="Q10" s="44" t="s">
        <v>94</v>
      </c>
    </row>
    <row r="12" spans="1:18">
      <c r="A12" s="101" t="s">
        <v>57</v>
      </c>
      <c r="B12" s="102"/>
      <c r="C12" s="103"/>
    </row>
    <row r="13" spans="1:18">
      <c r="A13" s="16" t="s">
        <v>58</v>
      </c>
      <c r="B13" s="15" t="s">
        <v>2</v>
      </c>
      <c r="C13" s="17" t="s">
        <v>59</v>
      </c>
    </row>
    <row r="14" spans="1:18" ht="56.25" customHeight="1">
      <c r="A14" s="13" t="s">
        <v>115</v>
      </c>
      <c r="B14" s="14" t="s">
        <v>116</v>
      </c>
      <c r="C14" s="38" t="s">
        <v>117</v>
      </c>
    </row>
    <row r="16" spans="1:18">
      <c r="A16" s="96" t="s">
        <v>62</v>
      </c>
      <c r="B16" s="97"/>
      <c r="C16" s="97" t="s">
        <v>2</v>
      </c>
      <c r="D16" s="97"/>
      <c r="E16" s="97"/>
      <c r="F16" s="97"/>
      <c r="G16" s="97" t="s">
        <v>63</v>
      </c>
      <c r="H16" s="97"/>
      <c r="I16" s="97"/>
      <c r="J16" s="97" t="s">
        <v>64</v>
      </c>
      <c r="K16" s="97"/>
      <c r="L16" s="97"/>
      <c r="M16" s="97"/>
      <c r="N16" s="97"/>
      <c r="O16" s="97" t="s">
        <v>65</v>
      </c>
      <c r="P16" s="97"/>
      <c r="Q16" s="97" t="s">
        <v>66</v>
      </c>
      <c r="R16" s="107"/>
    </row>
    <row r="17" spans="1:18">
      <c r="A17" s="98"/>
      <c r="B17" s="90"/>
      <c r="C17" s="90"/>
      <c r="D17" s="90"/>
      <c r="E17" s="90"/>
      <c r="F17" s="90"/>
      <c r="G17" s="18" t="s">
        <v>67</v>
      </c>
      <c r="H17" s="18" t="s">
        <v>68</v>
      </c>
      <c r="I17" s="18" t="s">
        <v>2</v>
      </c>
      <c r="J17" s="18" t="s">
        <v>16</v>
      </c>
      <c r="K17" s="90" t="s">
        <v>2</v>
      </c>
      <c r="L17" s="90"/>
      <c r="M17" s="90"/>
      <c r="N17" s="90"/>
      <c r="O17" s="18" t="s">
        <v>69</v>
      </c>
      <c r="P17" s="18" t="s">
        <v>2</v>
      </c>
      <c r="Q17" s="18" t="s">
        <v>70</v>
      </c>
      <c r="R17" s="20" t="s">
        <v>71</v>
      </c>
    </row>
    <row r="18" spans="1:18" ht="15" customHeight="1">
      <c r="A18" s="105" t="s">
        <v>118</v>
      </c>
      <c r="B18" s="105"/>
      <c r="C18" s="105" t="s">
        <v>119</v>
      </c>
      <c r="D18" s="105"/>
      <c r="E18" s="105"/>
      <c r="F18" s="105"/>
      <c r="G18" s="41" t="s">
        <v>120</v>
      </c>
      <c r="H18" s="40" t="s">
        <v>121</v>
      </c>
      <c r="I18" s="43" t="s">
        <v>122</v>
      </c>
      <c r="J18" s="42" t="s">
        <v>123</v>
      </c>
      <c r="K18" s="104" t="s">
        <v>124</v>
      </c>
      <c r="L18" s="104"/>
      <c r="M18" s="104"/>
      <c r="N18" s="104"/>
      <c r="O18" s="39" t="s">
        <v>125</v>
      </c>
      <c r="P18" s="45" t="s">
        <v>126</v>
      </c>
      <c r="Q18" s="46" t="s">
        <v>127</v>
      </c>
      <c r="R18" s="80" t="s">
        <v>128</v>
      </c>
    </row>
    <row r="19" spans="1:18" ht="15" customHeight="1">
      <c r="A19" s="106"/>
      <c r="B19" s="106"/>
      <c r="C19" s="106"/>
      <c r="D19" s="106"/>
      <c r="E19" s="106"/>
      <c r="F19" s="106"/>
      <c r="G19" s="41" t="s">
        <v>129</v>
      </c>
      <c r="H19" s="40" t="s">
        <v>52</v>
      </c>
      <c r="I19" s="43" t="s">
        <v>130</v>
      </c>
      <c r="J19" s="42"/>
      <c r="K19" s="104"/>
      <c r="L19" s="104"/>
      <c r="M19" s="104"/>
      <c r="N19" s="104"/>
      <c r="O19" s="39"/>
      <c r="P19" s="45"/>
      <c r="Q19" s="46"/>
      <c r="R19" s="80"/>
    </row>
    <row r="20" spans="1:18" ht="15" customHeight="1">
      <c r="A20" s="106"/>
      <c r="B20" s="106"/>
      <c r="C20" s="106"/>
      <c r="D20" s="106"/>
      <c r="E20" s="106"/>
      <c r="F20" s="106"/>
      <c r="G20" s="41" t="s">
        <v>101</v>
      </c>
      <c r="H20" s="40" t="s">
        <v>131</v>
      </c>
      <c r="I20" s="43" t="s">
        <v>132</v>
      </c>
      <c r="J20" s="42"/>
      <c r="K20" s="104"/>
      <c r="L20" s="104"/>
      <c r="M20" s="104"/>
      <c r="N20" s="104"/>
      <c r="O20" s="46" t="s">
        <v>133</v>
      </c>
      <c r="P20" s="46" t="s">
        <v>134</v>
      </c>
      <c r="Q20" s="46" t="s">
        <v>135</v>
      </c>
      <c r="R20" s="79" t="s">
        <v>136</v>
      </c>
    </row>
    <row r="21" spans="1:18" ht="15" customHeight="1">
      <c r="A21" s="106"/>
      <c r="B21" s="106"/>
      <c r="C21" s="106"/>
      <c r="D21" s="106"/>
      <c r="E21" s="106"/>
      <c r="F21" s="106"/>
      <c r="G21" s="41" t="s">
        <v>137</v>
      </c>
      <c r="H21" s="40" t="s">
        <v>110</v>
      </c>
      <c r="I21" s="77" t="s">
        <v>138</v>
      </c>
      <c r="J21" s="78"/>
      <c r="K21" s="104"/>
      <c r="L21" s="104"/>
      <c r="M21" s="104"/>
      <c r="N21" s="104"/>
      <c r="O21" s="46"/>
      <c r="P21" s="46"/>
      <c r="Q21" s="46"/>
      <c r="R21" s="79"/>
    </row>
    <row r="22" spans="1:18">
      <c r="A22" s="71" t="s">
        <v>82</v>
      </c>
    </row>
  </sheetData>
  <mergeCells count="17">
    <mergeCell ref="K21:N21"/>
    <mergeCell ref="A18:B21"/>
    <mergeCell ref="C18:F21"/>
    <mergeCell ref="Q16:R16"/>
    <mergeCell ref="K17:N17"/>
    <mergeCell ref="K19:N19"/>
    <mergeCell ref="K20:N20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location="'Objetos de Dominio'!A1" display="Volver al inicio" xr:uid="{736B5B5C-ED81-4592-959C-43A6AE135ED4}"/>
    <hyperlink ref="A1:P1" location="'Listado Objetos de Dominio'!A1" display="&lt;-Volver al inicio" xr:uid="{BA888B55-796B-4DC3-A30C-58A8D5B69238}"/>
    <hyperlink ref="A22" location="'Muestreo Usuario Visitante'!A1" display="&lt;&lt;Muestreo de datos&gt;&gt;" xr:uid="{71085C1F-1B8D-470F-B8ED-EE2C3864D789}"/>
    <hyperlink ref="B2:P2" location="'Usuario Visitante'!A5" display="Usuario Visitante" xr:uid="{90DF7F50-C915-4569-B06B-3E0BEE260976}"/>
    <hyperlink ref="Q4" location="'Objeto Dominio 2'!A18" display="'Objeto Dominio 2'!A18" xr:uid="{1DDC5ADA-5385-4F65-A104-EFAE86ECDF53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901E-70FC-4E73-917F-920CDFEB45F6}">
  <sheetPr>
    <tabColor rgb="FFFFFF00"/>
  </sheetPr>
  <dimension ref="A1:P14"/>
  <sheetViews>
    <sheetView workbookViewId="0">
      <selection activeCell="D4" sqref="D4"/>
    </sheetView>
  </sheetViews>
  <sheetFormatPr defaultColWidth="9.140625" defaultRowHeight="15"/>
  <cols>
    <col min="4" max="4" width="23.28515625" customWidth="1"/>
    <col min="5" max="5" width="18.7109375" customWidth="1"/>
    <col min="6" max="6" width="24.5703125" customWidth="1"/>
    <col min="7" max="7" width="22.85546875" customWidth="1"/>
    <col min="8" max="8" width="24.85546875" customWidth="1"/>
    <col min="9" max="9" width="24.28515625" bestFit="1" customWidth="1"/>
    <col min="10" max="10" width="26.140625" customWidth="1"/>
    <col min="11" max="11" width="15.28515625" customWidth="1"/>
    <col min="12" max="12" width="21.5703125" bestFit="1" customWidth="1"/>
    <col min="14" max="14" width="20.85546875" customWidth="1"/>
  </cols>
  <sheetData>
    <row r="1" spans="1:16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3" spans="1:16">
      <c r="D3" s="72" t="s">
        <v>90</v>
      </c>
      <c r="E3" s="72" t="s">
        <v>120</v>
      </c>
      <c r="F3" s="72" t="s">
        <v>0</v>
      </c>
      <c r="G3" s="72" t="s">
        <v>101</v>
      </c>
      <c r="H3" s="72" t="s">
        <v>139</v>
      </c>
      <c r="I3" s="72" t="s">
        <v>140</v>
      </c>
    </row>
    <row r="4" spans="1:16">
      <c r="D4" s="72">
        <v>1001</v>
      </c>
      <c r="E4">
        <v>3104567890</v>
      </c>
      <c r="F4" t="s">
        <v>83</v>
      </c>
      <c r="G4" s="81">
        <v>45818.385682870372</v>
      </c>
      <c r="H4" s="81">
        <v>45818.389409722222</v>
      </c>
      <c r="I4" t="s">
        <v>141</v>
      </c>
    </row>
    <row r="5" spans="1:16">
      <c r="D5" s="72">
        <v>1002</v>
      </c>
      <c r="E5">
        <v>3159876543</v>
      </c>
      <c r="F5" t="s">
        <v>142</v>
      </c>
      <c r="G5" s="81">
        <v>45819.605567129627</v>
      </c>
      <c r="H5" s="81">
        <v>45819.606365740743</v>
      </c>
      <c r="I5" t="s">
        <v>143</v>
      </c>
    </row>
    <row r="6" spans="1:16">
      <c r="D6" s="72">
        <v>1003</v>
      </c>
      <c r="E6">
        <v>3201234567</v>
      </c>
      <c r="F6" t="s">
        <v>144</v>
      </c>
      <c r="G6" s="81">
        <v>45820.337326388886</v>
      </c>
      <c r="H6" s="81">
        <v>45820.340532407405</v>
      </c>
      <c r="I6" t="s">
        <v>141</v>
      </c>
    </row>
    <row r="7" spans="1:16">
      <c r="D7" s="72">
        <v>1004</v>
      </c>
      <c r="E7">
        <v>3017896543</v>
      </c>
      <c r="F7" t="s">
        <v>145</v>
      </c>
      <c r="G7" s="81">
        <v>45820.44804398148</v>
      </c>
      <c r="H7" s="81">
        <v>45820.449884259258</v>
      </c>
      <c r="I7" t="s">
        <v>143</v>
      </c>
    </row>
    <row r="8" spans="1:16">
      <c r="C8" s="50"/>
      <c r="D8" s="72">
        <v>1005</v>
      </c>
      <c r="E8">
        <v>3004567890</v>
      </c>
      <c r="F8" t="s">
        <v>146</v>
      </c>
      <c r="G8" s="81">
        <v>45819.845520833333</v>
      </c>
      <c r="H8" s="81">
        <v>45819.847048611111</v>
      </c>
      <c r="I8" t="s">
        <v>141</v>
      </c>
    </row>
    <row r="9" spans="1:16">
      <c r="C9" s="64"/>
      <c r="D9" s="72">
        <v>1006</v>
      </c>
      <c r="E9">
        <v>3198765432</v>
      </c>
      <c r="F9" t="s">
        <v>147</v>
      </c>
      <c r="G9" s="81">
        <v>45820.474953703706</v>
      </c>
      <c r="H9" s="81">
        <v>45820.476851851854</v>
      </c>
      <c r="I9" t="s">
        <v>143</v>
      </c>
    </row>
    <row r="10" spans="1:16">
      <c r="C10" s="64"/>
      <c r="D10" s="72">
        <v>1007</v>
      </c>
      <c r="E10">
        <v>3029876543</v>
      </c>
      <c r="F10" t="s">
        <v>148</v>
      </c>
      <c r="G10" s="81">
        <v>45818.743217592593</v>
      </c>
      <c r="H10" s="81">
        <v>45818.753472222219</v>
      </c>
      <c r="I10" t="s">
        <v>141</v>
      </c>
    </row>
    <row r="11" spans="1:16">
      <c r="C11" s="64"/>
      <c r="D11" s="72">
        <v>1008</v>
      </c>
      <c r="E11">
        <v>3123456789</v>
      </c>
      <c r="F11" t="s">
        <v>149</v>
      </c>
      <c r="G11" s="81">
        <v>45820.375</v>
      </c>
      <c r="H11" s="81">
        <v>45820.377256944441</v>
      </c>
      <c r="I11" t="s">
        <v>143</v>
      </c>
    </row>
    <row r="12" spans="1:16">
      <c r="C12" s="64"/>
      <c r="D12" s="72">
        <v>1009</v>
      </c>
      <c r="E12">
        <v>3162345678</v>
      </c>
      <c r="F12" t="s">
        <v>150</v>
      </c>
      <c r="G12" s="81">
        <v>45820.507233796299</v>
      </c>
      <c r="H12" s="81">
        <v>45820.508900462963</v>
      </c>
      <c r="I12" t="s">
        <v>143</v>
      </c>
    </row>
    <row r="13" spans="1:16">
      <c r="C13" s="64"/>
      <c r="D13" s="72">
        <v>1010</v>
      </c>
      <c r="E13">
        <v>3187654321</v>
      </c>
      <c r="F13" t="s">
        <v>151</v>
      </c>
      <c r="G13" s="81">
        <v>45819.634756944448</v>
      </c>
      <c r="H13" s="81">
        <v>45819.642789351848</v>
      </c>
      <c r="I13" t="s">
        <v>141</v>
      </c>
    </row>
    <row r="14" spans="1:16">
      <c r="C14" s="64"/>
      <c r="D14" s="34"/>
      <c r="E14" s="34"/>
      <c r="F14" s="34"/>
      <c r="G14" s="65"/>
    </row>
  </sheetData>
  <mergeCells count="1">
    <mergeCell ref="A1:P1"/>
  </mergeCells>
  <hyperlinks>
    <hyperlink ref="A1" location="'Objetos de Dominio'!A1" display="Volver al inicio" xr:uid="{CB224F62-63EF-4A43-A404-AC7807C207EB}"/>
    <hyperlink ref="A1:P1" location="'Listado Objetos de Dominio'!A1" display="&lt;-Volver al inicio" xr:uid="{822592CE-5C90-4947-865A-F254CD8CD0C2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3532-6970-4596-A8AB-4AC086447EA3}">
  <sheetPr>
    <tabColor theme="8" tint="0.39997558519241921"/>
  </sheetPr>
  <dimension ref="A1:R34"/>
  <sheetViews>
    <sheetView zoomScaleNormal="100" workbookViewId="0">
      <selection activeCell="E12" sqref="E12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24.42578125" style="1" customWidth="1"/>
    <col min="9" max="9" width="79.28515625" style="1" bestFit="1" customWidth="1"/>
    <col min="10" max="10" width="26.42578125" style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42.42578125" style="1" customWidth="1"/>
    <col min="16" max="16" width="94.42578125" style="1" bestFit="1" customWidth="1"/>
    <col min="17" max="17" width="132.5703125" style="1" bestFit="1" customWidth="1"/>
    <col min="18" max="18" width="98.7109375" style="1" customWidth="1"/>
    <col min="19" max="19" width="52.28515625" style="1" bestFit="1" customWidth="1"/>
    <col min="20" max="16384" width="11.42578125" style="1"/>
  </cols>
  <sheetData>
    <row r="1" spans="1:18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8">
      <c r="A2" s="3" t="s">
        <v>13</v>
      </c>
      <c r="B2" s="92" t="str">
        <f>'Listado Objetos de Dominio'!A3</f>
        <v>Preguntas Frecuentes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8" ht="15.75" customHeight="1">
      <c r="A3" s="3" t="s">
        <v>14</v>
      </c>
      <c r="B3" s="100" t="str">
        <f>'Listado Objetos de Dominio'!$C$3</f>
        <v xml:space="preserve">Entidad que contiene una lista de preguntas comunes que los usuarios podrían realizar al chatbot, junto con sus respuestas predefinidas. 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1:18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9" t="s">
        <v>2</v>
      </c>
      <c r="Q4" s="23" t="str">
        <f>A17</f>
        <v>Consultar</v>
      </c>
    </row>
    <row r="5" spans="1:18">
      <c r="A5" s="10" t="s">
        <v>152</v>
      </c>
      <c r="B5" s="4" t="s">
        <v>153</v>
      </c>
      <c r="C5" s="4" t="s">
        <v>154</v>
      </c>
      <c r="D5" s="4" t="s">
        <v>155</v>
      </c>
      <c r="E5" s="4"/>
      <c r="F5" s="4"/>
      <c r="G5" s="4"/>
      <c r="H5" s="4" t="s">
        <v>32</v>
      </c>
      <c r="I5" s="27" t="s">
        <v>33</v>
      </c>
      <c r="J5" s="4" t="s">
        <v>34</v>
      </c>
      <c r="K5" s="11" t="s">
        <v>37</v>
      </c>
      <c r="L5" s="4" t="s">
        <v>156</v>
      </c>
      <c r="M5" s="4" t="s">
        <v>35</v>
      </c>
      <c r="N5" s="4" t="s">
        <v>36</v>
      </c>
      <c r="O5" s="4" t="s">
        <v>37</v>
      </c>
      <c r="P5" s="6" t="s">
        <v>157</v>
      </c>
      <c r="Q5" s="21" t="s">
        <v>37</v>
      </c>
    </row>
    <row r="6" spans="1:18">
      <c r="A6" s="10" t="s">
        <v>158</v>
      </c>
      <c r="B6" s="4" t="s">
        <v>52</v>
      </c>
      <c r="C6" s="4">
        <v>5</v>
      </c>
      <c r="D6" s="4">
        <v>255</v>
      </c>
      <c r="E6" s="4"/>
      <c r="F6" s="4"/>
      <c r="G6" s="4"/>
      <c r="H6" s="4" t="s">
        <v>40</v>
      </c>
      <c r="I6" s="27"/>
      <c r="J6" s="4" t="s">
        <v>159</v>
      </c>
      <c r="K6" s="11" t="s">
        <v>156</v>
      </c>
      <c r="L6" s="4" t="s">
        <v>156</v>
      </c>
      <c r="M6" s="4" t="s">
        <v>35</v>
      </c>
      <c r="N6" s="4" t="s">
        <v>36</v>
      </c>
      <c r="O6" s="4" t="s">
        <v>36</v>
      </c>
      <c r="P6" s="6" t="s">
        <v>160</v>
      </c>
      <c r="Q6" s="21" t="s">
        <v>37</v>
      </c>
    </row>
    <row r="7" spans="1:18">
      <c r="A7" s="10" t="s">
        <v>161</v>
      </c>
      <c r="B7" s="4" t="s">
        <v>52</v>
      </c>
      <c r="C7" s="4">
        <v>1</v>
      </c>
      <c r="D7" s="4">
        <v>1000</v>
      </c>
      <c r="E7" s="4"/>
      <c r="F7" s="4"/>
      <c r="G7" s="4"/>
      <c r="H7" s="4" t="s">
        <v>162</v>
      </c>
      <c r="I7" s="27"/>
      <c r="J7" s="4" t="s">
        <v>163</v>
      </c>
      <c r="K7" s="4" t="s">
        <v>156</v>
      </c>
      <c r="L7" s="4" t="s">
        <v>156</v>
      </c>
      <c r="M7" s="4" t="s">
        <v>35</v>
      </c>
      <c r="N7" s="4" t="s">
        <v>36</v>
      </c>
      <c r="O7" s="4" t="s">
        <v>36</v>
      </c>
      <c r="P7" s="4" t="s">
        <v>164</v>
      </c>
      <c r="Q7" s="21" t="s">
        <v>37</v>
      </c>
    </row>
    <row r="8" spans="1:18">
      <c r="A8" s="10" t="s">
        <v>165</v>
      </c>
      <c r="B8" s="4" t="s">
        <v>166</v>
      </c>
      <c r="C8" s="4"/>
      <c r="D8" s="4"/>
      <c r="E8" s="4"/>
      <c r="F8" s="4"/>
      <c r="G8" s="4"/>
      <c r="H8" s="4" t="s">
        <v>167</v>
      </c>
      <c r="I8" s="27" t="s">
        <v>168</v>
      </c>
      <c r="J8" s="4" t="s">
        <v>169</v>
      </c>
      <c r="K8" s="4" t="s">
        <v>37</v>
      </c>
      <c r="L8" s="4" t="s">
        <v>156</v>
      </c>
      <c r="M8" s="4" t="s">
        <v>35</v>
      </c>
      <c r="N8" s="4" t="s">
        <v>36</v>
      </c>
      <c r="O8" s="4" t="s">
        <v>36</v>
      </c>
      <c r="P8" s="4" t="s">
        <v>170</v>
      </c>
      <c r="Q8" s="21" t="s">
        <v>37</v>
      </c>
    </row>
    <row r="9" spans="1:18">
      <c r="A9" s="10" t="s">
        <v>171</v>
      </c>
      <c r="B9" s="4" t="s">
        <v>166</v>
      </c>
      <c r="C9" s="4"/>
      <c r="D9" s="4"/>
      <c r="E9" s="4"/>
      <c r="F9" s="4"/>
      <c r="G9" s="4"/>
      <c r="H9" s="4" t="s">
        <v>167</v>
      </c>
      <c r="I9" s="27" t="s">
        <v>172</v>
      </c>
      <c r="J9" s="4" t="s">
        <v>173</v>
      </c>
      <c r="K9" s="4" t="s">
        <v>36</v>
      </c>
      <c r="L9" s="4" t="s">
        <v>174</v>
      </c>
      <c r="M9" s="4" t="s">
        <v>36</v>
      </c>
      <c r="N9" s="4" t="s">
        <v>36</v>
      </c>
      <c r="O9" s="4" t="s">
        <v>36</v>
      </c>
      <c r="P9" s="4" t="s">
        <v>175</v>
      </c>
      <c r="Q9" s="21" t="s">
        <v>37</v>
      </c>
    </row>
    <row r="11" spans="1:18">
      <c r="A11" s="93" t="s">
        <v>57</v>
      </c>
      <c r="B11" s="94"/>
      <c r="C11" s="95"/>
    </row>
    <row r="12" spans="1:18">
      <c r="A12" s="16" t="s">
        <v>58</v>
      </c>
      <c r="B12" s="15" t="s">
        <v>2</v>
      </c>
      <c r="C12" s="17" t="s">
        <v>59</v>
      </c>
    </row>
    <row r="13" spans="1:18" ht="39" customHeight="1" thickBot="1">
      <c r="A13" s="13" t="s">
        <v>176</v>
      </c>
      <c r="B13" s="14" t="s">
        <v>177</v>
      </c>
      <c r="C13" s="24" t="s">
        <v>158</v>
      </c>
    </row>
    <row r="15" spans="1:18">
      <c r="A15" s="96" t="s">
        <v>62</v>
      </c>
      <c r="B15" s="97"/>
      <c r="C15" s="97" t="s">
        <v>2</v>
      </c>
      <c r="D15" s="97"/>
      <c r="E15" s="97"/>
      <c r="F15" s="97"/>
      <c r="G15" s="97" t="s">
        <v>63</v>
      </c>
      <c r="H15" s="97"/>
      <c r="I15" s="97"/>
      <c r="J15" s="97" t="s">
        <v>64</v>
      </c>
      <c r="K15" s="97"/>
      <c r="L15" s="97"/>
      <c r="M15" s="97"/>
      <c r="N15" s="97"/>
      <c r="O15" s="97" t="s">
        <v>65</v>
      </c>
      <c r="P15" s="97"/>
      <c r="Q15" s="97" t="s">
        <v>66</v>
      </c>
      <c r="R15" s="107"/>
    </row>
    <row r="16" spans="1:18">
      <c r="A16" s="98"/>
      <c r="B16" s="90"/>
      <c r="C16" s="90"/>
      <c r="D16" s="90"/>
      <c r="E16" s="90"/>
      <c r="F16" s="90"/>
      <c r="G16" s="18" t="s">
        <v>67</v>
      </c>
      <c r="H16" s="18" t="s">
        <v>68</v>
      </c>
      <c r="I16" s="18" t="s">
        <v>2</v>
      </c>
      <c r="J16" s="18" t="s">
        <v>16</v>
      </c>
      <c r="K16" s="90" t="s">
        <v>2</v>
      </c>
      <c r="L16" s="90"/>
      <c r="M16" s="90"/>
      <c r="N16" s="90"/>
      <c r="O16" s="18" t="s">
        <v>69</v>
      </c>
      <c r="P16" s="18" t="s">
        <v>2</v>
      </c>
      <c r="Q16" s="18" t="s">
        <v>70</v>
      </c>
      <c r="R16" s="20" t="s">
        <v>71</v>
      </c>
    </row>
    <row r="17" spans="1:18" ht="15" customHeight="1">
      <c r="A17" s="123" t="s">
        <v>178</v>
      </c>
      <c r="B17" s="124"/>
      <c r="C17" s="115" t="s">
        <v>179</v>
      </c>
      <c r="D17" s="116"/>
      <c r="E17" s="116"/>
      <c r="F17" s="117"/>
      <c r="G17" s="19" t="s">
        <v>180</v>
      </c>
      <c r="H17" s="35" t="s">
        <v>121</v>
      </c>
      <c r="I17" s="19" t="s">
        <v>181</v>
      </c>
      <c r="J17" s="121" t="s">
        <v>182</v>
      </c>
      <c r="K17" s="115" t="s">
        <v>183</v>
      </c>
      <c r="L17" s="116"/>
      <c r="M17" s="116"/>
      <c r="N17" s="117"/>
      <c r="O17" s="108" t="s">
        <v>184</v>
      </c>
      <c r="P17" s="110" t="s">
        <v>185</v>
      </c>
      <c r="Q17" s="112" t="s">
        <v>186</v>
      </c>
      <c r="R17" s="113" t="s">
        <v>187</v>
      </c>
    </row>
    <row r="18" spans="1:18" ht="15" customHeight="1">
      <c r="A18" s="125"/>
      <c r="B18" s="126"/>
      <c r="C18" s="118"/>
      <c r="D18" s="119"/>
      <c r="E18" s="119"/>
      <c r="F18" s="120"/>
      <c r="G18" s="19" t="s">
        <v>188</v>
      </c>
      <c r="H18" s="35" t="s">
        <v>39</v>
      </c>
      <c r="I18" s="19" t="s">
        <v>189</v>
      </c>
      <c r="J18" s="122"/>
      <c r="K18" s="118"/>
      <c r="L18" s="119"/>
      <c r="M18" s="119"/>
      <c r="N18" s="120"/>
      <c r="O18" s="109"/>
      <c r="P18" s="111"/>
      <c r="Q18" s="111"/>
      <c r="R18" s="114"/>
    </row>
    <row r="20" spans="1:18">
      <c r="A20" s="54" t="s">
        <v>82</v>
      </c>
    </row>
    <row r="22" spans="1:18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8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8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8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8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8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8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8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8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8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</sheetData>
  <mergeCells count="19">
    <mergeCell ref="C17:F18"/>
    <mergeCell ref="J17:J18"/>
    <mergeCell ref="K17:N18"/>
    <mergeCell ref="A17:B18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15:R15"/>
    <mergeCell ref="K16:N16"/>
    <mergeCell ref="O17:O18"/>
    <mergeCell ref="P17:P18"/>
    <mergeCell ref="Q17:Q18"/>
    <mergeCell ref="R17:R18"/>
  </mergeCells>
  <hyperlinks>
    <hyperlink ref="A1" location="'Objetos de Dominio'!A1" display="Volver al inicio" xr:uid="{66AFA5DB-440E-4454-BC26-49AB64A134E8}"/>
    <hyperlink ref="Q4" location="'Objeto Dominio N'!A16" display="'Objeto Dominio N'!A16" xr:uid="{3ED79DF8-BC1C-4B1B-A714-701E3BE2AD1F}"/>
    <hyperlink ref="A1:P1" location="'Listado Objetos de Dominio'!A1" display="&lt;-Volver al inicio" xr:uid="{C6F04C55-3EF0-4703-8CF6-0A4BF13A2290}"/>
    <hyperlink ref="A20" location="'Muestreo Abastecimiento'!A1" display="&lt;&lt;Muestreo de datos&gt;&gt;" xr:uid="{086A7F3E-A258-46CC-8257-7C0A82D21ACF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398D-4205-453B-BD0D-4F8D00BC8456}">
  <sheetPr>
    <tabColor theme="8" tint="0.39997558519241921"/>
  </sheetPr>
  <dimension ref="A1:P7"/>
  <sheetViews>
    <sheetView workbookViewId="0">
      <selection activeCell="C4" sqref="C4"/>
    </sheetView>
  </sheetViews>
  <sheetFormatPr defaultColWidth="9.140625" defaultRowHeight="15"/>
  <cols>
    <col min="1" max="1" width="34.7109375" customWidth="1"/>
    <col min="2" max="2" width="34" customWidth="1"/>
    <col min="3" max="3" width="31.42578125" customWidth="1"/>
    <col min="4" max="4" width="58" customWidth="1"/>
    <col min="5" max="5" width="25.28515625" customWidth="1"/>
    <col min="6" max="6" width="21.140625" customWidth="1"/>
    <col min="7" max="7" width="21.85546875" customWidth="1"/>
  </cols>
  <sheetData>
    <row r="1" spans="1:16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3" spans="1:16">
      <c r="B3" s="72" t="s">
        <v>152</v>
      </c>
      <c r="C3" s="72" t="s">
        <v>158</v>
      </c>
      <c r="D3" s="72" t="s">
        <v>161</v>
      </c>
      <c r="E3" s="72" t="s">
        <v>165</v>
      </c>
      <c r="F3" s="72" t="s">
        <v>171</v>
      </c>
    </row>
    <row r="4" spans="1:16">
      <c r="B4">
        <v>1</v>
      </c>
      <c r="C4" t="s">
        <v>190</v>
      </c>
      <c r="D4" t="s">
        <v>191</v>
      </c>
      <c r="E4" t="s">
        <v>192</v>
      </c>
      <c r="F4" t="s">
        <v>192</v>
      </c>
    </row>
    <row r="5" spans="1:16">
      <c r="B5">
        <v>2</v>
      </c>
      <c r="C5" t="s">
        <v>193</v>
      </c>
      <c r="D5" s="73" t="s">
        <v>194</v>
      </c>
      <c r="E5" t="s">
        <v>195</v>
      </c>
      <c r="F5" t="s">
        <v>196</v>
      </c>
    </row>
    <row r="6" spans="1:16">
      <c r="B6">
        <v>3</v>
      </c>
      <c r="C6" t="s">
        <v>197</v>
      </c>
      <c r="D6" t="s">
        <v>198</v>
      </c>
      <c r="E6" t="s">
        <v>199</v>
      </c>
      <c r="F6" t="s">
        <v>200</v>
      </c>
    </row>
    <row r="7" spans="1:16">
      <c r="B7">
        <v>4</v>
      </c>
      <c r="C7" t="s">
        <v>201</v>
      </c>
      <c r="D7" t="s">
        <v>202</v>
      </c>
      <c r="E7" t="s">
        <v>203</v>
      </c>
      <c r="F7" t="s">
        <v>203</v>
      </c>
    </row>
  </sheetData>
  <mergeCells count="1">
    <mergeCell ref="A1:P1"/>
  </mergeCells>
  <hyperlinks>
    <hyperlink ref="A1" location="'Objetos de Dominio'!A1" display="Volver al inicio" xr:uid="{86A6196A-618C-471E-8ACB-0F1B882489A6}"/>
    <hyperlink ref="A1:P1" location="'Listado Objetos de Dominio'!A1" display="&lt;-Volver al inicio" xr:uid="{2E35C6C6-B753-447B-85DE-BA7E1B38B8B3}"/>
    <hyperlink ref="D5" r:id="rId1" xr:uid="{A4448EE2-3E03-4B14-B2C5-E021D0CF28A0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sheetPr>
    <tabColor theme="9" tint="0.79998168889431442"/>
  </sheetPr>
  <dimension ref="A1:R23"/>
  <sheetViews>
    <sheetView topLeftCell="P1" zoomScaleNormal="100" workbookViewId="0">
      <selection activeCell="Q15" sqref="Q15"/>
    </sheetView>
  </sheetViews>
  <sheetFormatPr defaultColWidth="11.42578125" defaultRowHeight="15"/>
  <cols>
    <col min="1" max="1" width="26.5703125" style="1" customWidth="1"/>
    <col min="2" max="2" width="38.5703125" style="1" customWidth="1"/>
    <col min="3" max="3" width="25" style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27.5703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64.28515625" style="1" customWidth="1"/>
    <col min="16" max="16" width="94.42578125" style="1" bestFit="1" customWidth="1"/>
    <col min="17" max="17" width="132.5703125" style="1" bestFit="1" customWidth="1"/>
    <col min="18" max="18" width="52.28515625" style="1" bestFit="1" customWidth="1"/>
    <col min="19" max="16384" width="11.42578125" style="1"/>
  </cols>
  <sheetData>
    <row r="1" spans="1:17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7">
      <c r="A2" s="3" t="s">
        <v>12</v>
      </c>
      <c r="B2" s="92" t="str">
        <f>'Listado Objetos de Dominio'!A4</f>
        <v>Pagina Web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7">
      <c r="A3" s="3" t="s">
        <v>14</v>
      </c>
      <c r="B3" s="92" t="str">
        <f>'Listado Objetos de Dominio'!$C$4</f>
        <v>Entidad que representa la página web del negocio hacia donde el chatbot puede redirigir al usuario según una pregunta o interacción dentro del flujo del chat.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7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9" t="s">
        <v>2</v>
      </c>
      <c r="Q4" s="70" t="str">
        <f>A20</f>
        <v>Consultar</v>
      </c>
    </row>
    <row r="5" spans="1:17">
      <c r="A5" s="10" t="s">
        <v>204</v>
      </c>
      <c r="B5" s="4" t="s">
        <v>91</v>
      </c>
      <c r="C5" s="4"/>
      <c r="D5" s="4">
        <v>36</v>
      </c>
      <c r="E5" s="4"/>
      <c r="F5" s="4"/>
      <c r="G5" s="4"/>
      <c r="H5" s="36" t="s">
        <v>205</v>
      </c>
      <c r="I5" s="4"/>
      <c r="J5" s="12"/>
      <c r="K5" s="11" t="s">
        <v>174</v>
      </c>
      <c r="L5" s="4" t="s">
        <v>36</v>
      </c>
      <c r="M5" s="4" t="s">
        <v>37</v>
      </c>
      <c r="N5" s="4" t="s">
        <v>36</v>
      </c>
      <c r="O5" s="4" t="s">
        <v>37</v>
      </c>
      <c r="P5" s="6" t="s">
        <v>206</v>
      </c>
      <c r="Q5" s="33" t="s">
        <v>207</v>
      </c>
    </row>
    <row r="6" spans="1:17">
      <c r="A6" s="10" t="s">
        <v>208</v>
      </c>
      <c r="B6" s="4" t="s">
        <v>39</v>
      </c>
      <c r="C6" s="4"/>
      <c r="D6" s="4">
        <v>2048</v>
      </c>
      <c r="E6" s="4"/>
      <c r="F6" s="4"/>
      <c r="G6" s="4"/>
      <c r="H6" s="36" t="s">
        <v>209</v>
      </c>
      <c r="I6" s="4"/>
      <c r="J6" s="12" t="s">
        <v>210</v>
      </c>
      <c r="K6" s="11" t="s">
        <v>36</v>
      </c>
      <c r="L6" s="4" t="s">
        <v>36</v>
      </c>
      <c r="M6" s="4" t="s">
        <v>37</v>
      </c>
      <c r="N6" s="4" t="s">
        <v>36</v>
      </c>
      <c r="O6" s="4" t="s">
        <v>36</v>
      </c>
      <c r="P6" s="6" t="s">
        <v>211</v>
      </c>
      <c r="Q6" s="33" t="s">
        <v>207</v>
      </c>
    </row>
    <row r="7" spans="1:17">
      <c r="A7" s="10" t="s">
        <v>212</v>
      </c>
      <c r="B7" s="4" t="s">
        <v>39</v>
      </c>
      <c r="C7" s="4"/>
      <c r="D7" s="4">
        <v>150</v>
      </c>
      <c r="E7" s="4"/>
      <c r="F7" s="4"/>
      <c r="G7" s="4"/>
      <c r="H7" s="36" t="s">
        <v>213</v>
      </c>
      <c r="I7" s="4"/>
      <c r="J7" s="5"/>
      <c r="K7" s="11" t="s">
        <v>36</v>
      </c>
      <c r="L7" s="4" t="s">
        <v>36</v>
      </c>
      <c r="M7" s="4" t="s">
        <v>37</v>
      </c>
      <c r="N7" s="4" t="s">
        <v>36</v>
      </c>
      <c r="O7" s="4" t="s">
        <v>36</v>
      </c>
      <c r="P7" s="6" t="s">
        <v>214</v>
      </c>
      <c r="Q7" t="s">
        <v>215</v>
      </c>
    </row>
    <row r="8" spans="1:17">
      <c r="A8" s="10" t="s">
        <v>216</v>
      </c>
      <c r="B8" s="4" t="s">
        <v>39</v>
      </c>
      <c r="C8" s="4"/>
      <c r="D8" s="4">
        <v>255</v>
      </c>
      <c r="E8" s="4"/>
      <c r="F8" s="4"/>
      <c r="G8" s="4"/>
      <c r="H8" s="36" t="s">
        <v>213</v>
      </c>
      <c r="I8" s="4"/>
      <c r="J8" s="5"/>
      <c r="K8" s="11" t="s">
        <v>36</v>
      </c>
      <c r="L8" s="4" t="s">
        <v>36</v>
      </c>
      <c r="M8" s="4" t="s">
        <v>217</v>
      </c>
      <c r="N8" s="4" t="s">
        <v>36</v>
      </c>
      <c r="O8" s="4" t="s">
        <v>36</v>
      </c>
      <c r="P8" s="6" t="s">
        <v>218</v>
      </c>
      <c r="Q8" s="33" t="s">
        <v>207</v>
      </c>
    </row>
    <row r="9" spans="1:17">
      <c r="A9" s="10" t="s">
        <v>219</v>
      </c>
      <c r="B9" s="4" t="s">
        <v>102</v>
      </c>
      <c r="C9" s="4"/>
      <c r="D9" s="4"/>
      <c r="E9" s="4"/>
      <c r="F9" s="4"/>
      <c r="G9" s="4"/>
      <c r="H9" s="36" t="s">
        <v>220</v>
      </c>
      <c r="I9" s="4"/>
      <c r="J9" s="5"/>
      <c r="K9" s="11" t="s">
        <v>37</v>
      </c>
      <c r="L9" s="4" t="s">
        <v>36</v>
      </c>
      <c r="M9" s="4" t="s">
        <v>37</v>
      </c>
      <c r="N9" s="4" t="s">
        <v>36</v>
      </c>
      <c r="O9" s="4" t="s">
        <v>36</v>
      </c>
      <c r="P9" s="6" t="s">
        <v>221</v>
      </c>
      <c r="Q9" s="33" t="s">
        <v>207</v>
      </c>
    </row>
    <row r="10" spans="1:17">
      <c r="A10" s="10" t="s">
        <v>222</v>
      </c>
      <c r="B10" s="4" t="s">
        <v>102</v>
      </c>
      <c r="C10" s="4"/>
      <c r="D10" s="4"/>
      <c r="E10" s="4"/>
      <c r="F10" s="4"/>
      <c r="G10" s="4"/>
      <c r="H10" s="36" t="s">
        <v>220</v>
      </c>
      <c r="I10" s="4"/>
      <c r="J10" s="5"/>
      <c r="K10" s="11" t="s">
        <v>37</v>
      </c>
      <c r="L10" s="4" t="s">
        <v>36</v>
      </c>
      <c r="M10" s="4" t="s">
        <v>37</v>
      </c>
      <c r="N10" s="4" t="s">
        <v>36</v>
      </c>
      <c r="O10" s="4" t="s">
        <v>36</v>
      </c>
      <c r="P10" s="6" t="s">
        <v>223</v>
      </c>
      <c r="Q10" s="33" t="s">
        <v>207</v>
      </c>
    </row>
    <row r="11" spans="1:17">
      <c r="A11" s="10" t="s">
        <v>224</v>
      </c>
      <c r="B11" s="4" t="s">
        <v>39</v>
      </c>
      <c r="C11" s="4"/>
      <c r="D11" s="4">
        <v>50</v>
      </c>
      <c r="E11" s="4"/>
      <c r="F11" s="4"/>
      <c r="G11" s="4"/>
      <c r="H11" s="36" t="s">
        <v>213</v>
      </c>
      <c r="I11" s="4"/>
      <c r="J11" s="5"/>
      <c r="K11" s="11" t="s">
        <v>36</v>
      </c>
      <c r="L11" s="4" t="s">
        <v>36</v>
      </c>
      <c r="M11" s="4" t="s">
        <v>36</v>
      </c>
      <c r="N11" s="4" t="s">
        <v>36</v>
      </c>
      <c r="O11" s="4" t="s">
        <v>36</v>
      </c>
      <c r="P11" s="6" t="s">
        <v>225</v>
      </c>
      <c r="Q11" s="33" t="s">
        <v>207</v>
      </c>
    </row>
    <row r="13" spans="1:17">
      <c r="A13" s="93" t="s">
        <v>57</v>
      </c>
      <c r="B13" s="93"/>
      <c r="C13" s="93"/>
    </row>
    <row r="14" spans="1:17">
      <c r="A14" s="16" t="s">
        <v>58</v>
      </c>
      <c r="B14" s="15" t="s">
        <v>2</v>
      </c>
      <c r="C14" s="17" t="s">
        <v>59</v>
      </c>
    </row>
    <row r="15" spans="1:17" ht="56.25" customHeight="1">
      <c r="A15" s="67" t="s">
        <v>226</v>
      </c>
      <c r="B15" s="14" t="s">
        <v>227</v>
      </c>
      <c r="C15" s="32" t="s">
        <v>228</v>
      </c>
    </row>
    <row r="16" spans="1:17" ht="56.25" customHeight="1">
      <c r="A16" s="67" t="s">
        <v>229</v>
      </c>
      <c r="B16" s="66" t="s">
        <v>230</v>
      </c>
      <c r="C16" s="32" t="s">
        <v>231</v>
      </c>
    </row>
    <row r="18" spans="1:18" ht="15.75" customHeight="1">
      <c r="A18" s="127" t="s">
        <v>62</v>
      </c>
      <c r="B18" s="128"/>
      <c r="C18" s="131" t="s">
        <v>2</v>
      </c>
      <c r="D18" s="132"/>
      <c r="E18" s="132"/>
      <c r="F18" s="128"/>
      <c r="G18" s="88" t="s">
        <v>63</v>
      </c>
      <c r="H18" s="135"/>
      <c r="I18" s="136"/>
      <c r="J18" s="88" t="s">
        <v>64</v>
      </c>
      <c r="K18" s="135"/>
      <c r="L18" s="135"/>
      <c r="M18" s="135"/>
      <c r="N18" s="136"/>
      <c r="O18" s="88" t="s">
        <v>65</v>
      </c>
      <c r="P18" s="136"/>
      <c r="Q18" s="97" t="s">
        <v>66</v>
      </c>
      <c r="R18" s="107"/>
    </row>
    <row r="19" spans="1:18">
      <c r="A19" s="129"/>
      <c r="B19" s="130"/>
      <c r="C19" s="133"/>
      <c r="D19" s="134"/>
      <c r="E19" s="134"/>
      <c r="F19" s="130"/>
      <c r="G19" s="28" t="s">
        <v>67</v>
      </c>
      <c r="H19" s="28" t="s">
        <v>68</v>
      </c>
      <c r="I19" s="28" t="s">
        <v>2</v>
      </c>
      <c r="J19" s="28" t="s">
        <v>16</v>
      </c>
      <c r="K19" s="143" t="s">
        <v>2</v>
      </c>
      <c r="L19" s="144"/>
      <c r="M19" s="144"/>
      <c r="N19" s="145"/>
      <c r="O19" s="28" t="s">
        <v>69</v>
      </c>
      <c r="P19" s="28" t="s">
        <v>2</v>
      </c>
      <c r="Q19" s="28" t="s">
        <v>70</v>
      </c>
      <c r="R19" s="20" t="s">
        <v>71</v>
      </c>
    </row>
    <row r="20" spans="1:18" s="34" customFormat="1" ht="69" customHeight="1">
      <c r="A20" s="137" t="s">
        <v>178</v>
      </c>
      <c r="B20" s="138"/>
      <c r="C20" s="115" t="s">
        <v>232</v>
      </c>
      <c r="D20" s="116"/>
      <c r="E20" s="116"/>
      <c r="F20" s="117"/>
      <c r="G20" s="19" t="s">
        <v>233</v>
      </c>
      <c r="H20" s="35" t="s">
        <v>91</v>
      </c>
      <c r="I20" s="19" t="s">
        <v>234</v>
      </c>
      <c r="J20" s="141" t="s">
        <v>235</v>
      </c>
      <c r="K20" s="115" t="s">
        <v>236</v>
      </c>
      <c r="L20" s="116"/>
      <c r="M20" s="116"/>
      <c r="N20" s="117"/>
      <c r="O20" s="19" t="s">
        <v>237</v>
      </c>
      <c r="P20" s="19" t="s">
        <v>238</v>
      </c>
      <c r="Q20" s="68" t="s">
        <v>239</v>
      </c>
      <c r="R20" s="69" t="s">
        <v>240</v>
      </c>
    </row>
    <row r="21" spans="1:18" s="34" customFormat="1" ht="69" customHeight="1">
      <c r="A21" s="139"/>
      <c r="B21" s="140"/>
      <c r="C21" s="118"/>
      <c r="D21" s="119"/>
      <c r="E21" s="119"/>
      <c r="F21" s="120"/>
      <c r="G21" s="19" t="s">
        <v>241</v>
      </c>
      <c r="H21" s="35" t="s">
        <v>39</v>
      </c>
      <c r="I21" s="19" t="s">
        <v>242</v>
      </c>
      <c r="J21" s="142"/>
      <c r="K21" s="118"/>
      <c r="L21" s="119"/>
      <c r="M21" s="119"/>
      <c r="N21" s="120"/>
      <c r="O21" s="19" t="s">
        <v>243</v>
      </c>
      <c r="P21" s="19" t="s">
        <v>244</v>
      </c>
      <c r="Q21" s="68" t="s">
        <v>245</v>
      </c>
      <c r="R21" s="69" t="s">
        <v>246</v>
      </c>
    </row>
    <row r="23" spans="1:18">
      <c r="A23" s="71" t="s">
        <v>82</v>
      </c>
    </row>
  </sheetData>
  <mergeCells count="15">
    <mergeCell ref="Q18:R18"/>
    <mergeCell ref="A20:B21"/>
    <mergeCell ref="C20:F21"/>
    <mergeCell ref="J20:J21"/>
    <mergeCell ref="K20:N21"/>
    <mergeCell ref="K19:N19"/>
    <mergeCell ref="A1:P1"/>
    <mergeCell ref="B2:P2"/>
    <mergeCell ref="B3:P3"/>
    <mergeCell ref="A13:C13"/>
    <mergeCell ref="A18:B19"/>
    <mergeCell ref="C18:F19"/>
    <mergeCell ref="G18:I18"/>
    <mergeCell ref="J18:N18"/>
    <mergeCell ref="O18:P18"/>
  </mergeCells>
  <hyperlinks>
    <hyperlink ref="A1" location="'Objetos de Dominio'!A1" display="Volver al inicio" xr:uid="{BD3FFCC5-4B44-4838-A36D-76DB08190487}"/>
    <hyperlink ref="Q4" location="'Pagina Web'!A20" display="=#¡REF!" xr:uid="{B7DC66C7-CAF0-414F-9819-29E983398B1B}"/>
    <hyperlink ref="A1:P1" location="'Listado Objetos de Dominio'!A1" display="&lt;-Volver al inicio" xr:uid="{EDAD5212-8D62-4F21-A63F-5CE874FBE78D}"/>
    <hyperlink ref="A23" location="'Muestreo Pagina Web'!A1" display="&lt;&lt;Muestreo de datos&gt;&gt;" xr:uid="{D26DE0A0-FD39-4870-8853-C3238CB3DBE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CC5C-7EEE-49C7-9AA4-B0EC8310DDC9}">
  <sheetPr>
    <tabColor theme="9" tint="0.79998168889431442"/>
  </sheetPr>
  <dimension ref="A1:P7"/>
  <sheetViews>
    <sheetView topLeftCell="D1" workbookViewId="0">
      <selection activeCell="F15" sqref="F15"/>
    </sheetView>
  </sheetViews>
  <sheetFormatPr defaultColWidth="11.42578125" defaultRowHeight="15"/>
  <cols>
    <col min="2" max="2" width="16.28515625" customWidth="1"/>
    <col min="3" max="3" width="15.28515625" customWidth="1"/>
    <col min="4" max="4" width="30.7109375" customWidth="1"/>
    <col min="5" max="5" width="26" customWidth="1"/>
    <col min="6" max="6" width="47.7109375" customWidth="1"/>
    <col min="7" max="8" width="21.140625" customWidth="1"/>
    <col min="9" max="9" width="23.5703125" customWidth="1"/>
    <col min="12" max="12" width="24.7109375" customWidth="1"/>
    <col min="13" max="13" width="23" customWidth="1"/>
  </cols>
  <sheetData>
    <row r="1" spans="1:16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3" spans="1:16">
      <c r="C3" s="74" t="s">
        <v>233</v>
      </c>
      <c r="D3" s="74" t="s">
        <v>228</v>
      </c>
      <c r="E3" s="74" t="s">
        <v>247</v>
      </c>
      <c r="F3" s="74" t="s">
        <v>248</v>
      </c>
      <c r="G3" s="74" t="s">
        <v>219</v>
      </c>
      <c r="H3" s="74" t="s">
        <v>249</v>
      </c>
      <c r="I3" s="74" t="s">
        <v>224</v>
      </c>
    </row>
    <row r="4" spans="1:16">
      <c r="C4" s="75">
        <v>1</v>
      </c>
      <c r="D4" s="76" t="s">
        <v>250</v>
      </c>
      <c r="E4" s="75" t="s">
        <v>251</v>
      </c>
      <c r="F4" s="75" t="s">
        <v>252</v>
      </c>
      <c r="G4" s="75" t="s">
        <v>253</v>
      </c>
      <c r="H4" s="75" t="s">
        <v>253</v>
      </c>
      <c r="I4" s="75" t="s">
        <v>254</v>
      </c>
    </row>
    <row r="5" spans="1:16">
      <c r="C5" s="75">
        <v>2</v>
      </c>
      <c r="D5" s="76" t="s">
        <v>255</v>
      </c>
      <c r="E5" s="75" t="s">
        <v>256</v>
      </c>
      <c r="F5" s="75" t="s">
        <v>257</v>
      </c>
      <c r="G5" s="75" t="s">
        <v>258</v>
      </c>
      <c r="H5" s="75" t="s">
        <v>259</v>
      </c>
      <c r="I5" s="75" t="s">
        <v>260</v>
      </c>
    </row>
    <row r="6" spans="1:16">
      <c r="C6" s="75">
        <v>3</v>
      </c>
      <c r="D6" s="76" t="s">
        <v>261</v>
      </c>
      <c r="E6" s="75" t="s">
        <v>262</v>
      </c>
      <c r="F6" s="75" t="s">
        <v>263</v>
      </c>
      <c r="G6" s="75" t="s">
        <v>264</v>
      </c>
      <c r="H6" s="75" t="s">
        <v>265</v>
      </c>
      <c r="I6" s="75" t="s">
        <v>266</v>
      </c>
    </row>
    <row r="7" spans="1:16">
      <c r="C7" s="75">
        <v>4</v>
      </c>
      <c r="D7" s="76" t="s">
        <v>267</v>
      </c>
      <c r="E7" s="75" t="s">
        <v>268</v>
      </c>
      <c r="F7" s="75" t="s">
        <v>269</v>
      </c>
      <c r="G7" s="75" t="s">
        <v>270</v>
      </c>
      <c r="H7" s="75" t="s">
        <v>271</v>
      </c>
      <c r="I7" s="75" t="s">
        <v>272</v>
      </c>
    </row>
  </sheetData>
  <mergeCells count="1">
    <mergeCell ref="A1:P1"/>
  </mergeCells>
  <hyperlinks>
    <hyperlink ref="A1" location="'Objetos de Dominio'!A1" display="Volver al inicio" xr:uid="{8998574D-B941-4715-A0D2-BE47467A1152}"/>
    <hyperlink ref="A1:P1" location="'Listado Objetos de Dominio'!A1" display="&lt;-Volver al inicio" xr:uid="{1C647AB3-A85D-4873-820E-087541B0F5DB}"/>
    <hyperlink ref="D4" r:id="rId1" xr:uid="{8C18A290-B219-4267-91C9-D407EF6AF88D}"/>
    <hyperlink ref="D5" r:id="rId2" xr:uid="{711101B6-DCEA-4F3B-98A0-C944DE34D4B1}"/>
    <hyperlink ref="D6" r:id="rId3" xr:uid="{AEC89A83-DAAC-4B1A-A7A2-BBE038230802}"/>
    <hyperlink ref="D7" r:id="rId4" xr:uid="{00ADD19A-4399-44D2-AD82-AC1F79DF9655}"/>
  </hyperlinks>
  <pageMargins left="0.7" right="0.7" top="0.75" bottom="0.75" header="0.3" footer="0.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6724C681-8A04-4D66-BB1C-57F7466573C0}"/>
</file>

<file path=customXml/itemProps2.xml><?xml version="1.0" encoding="utf-8"?>
<ds:datastoreItem xmlns:ds="http://schemas.openxmlformats.org/officeDocument/2006/customXml" ds:itemID="{52EE0A52-1B97-4DD1-A441-CE66EB040DCF}"/>
</file>

<file path=customXml/itemProps3.xml><?xml version="1.0" encoding="utf-8"?>
<ds:datastoreItem xmlns:ds="http://schemas.openxmlformats.org/officeDocument/2006/customXml" ds:itemID="{C2038022-656B-4A1B-A485-51A1972238BD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2023-03-15T04:00:09Z</dcterms:created>
  <dcterms:modified xsi:type="dcterms:W3CDTF">2025-06-12T04:32:09Z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