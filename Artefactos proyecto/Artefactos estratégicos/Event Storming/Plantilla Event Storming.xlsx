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onet.sharepoint.com/sites/ProyectodegradoBloquera/Shared Documents/General/Estructura-Plantillas trabajos de grado/1. Artefactos proyecto/1.1. Artefactos estratégicos/1.1.5. Event Storming/"/>
    </mc:Choice>
  </mc:AlternateContent>
  <xr:revisionPtr revIDLastSave="947" documentId="13_ncr:1_{5BC887EC-3AA1-4980-B5F6-B6087F1B181A}" xr6:coauthVersionLast="47" xr6:coauthVersionMax="47" xr10:uidLastSave="{224B0D9F-0B4A-4CFA-B484-900C4D7FACF4}"/>
  <bookViews>
    <workbookView xWindow="-120" yWindow="-120" windowWidth="38640" windowHeight="21120" firstSheet="26" activeTab="25" xr2:uid="{36012E7C-B3F4-482B-AC16-7CCB81B9AE88}"/>
  </bookViews>
  <sheets>
    <sheet name="Flujo de eventos anémico" sheetId="61" r:id="rId1"/>
    <sheet name="Listado Objetos de Dominio" sheetId="67" r:id="rId2"/>
    <sheet name="Proveedor" sheetId="66" r:id="rId3"/>
    <sheet name="Administrador" sheetId="24" r:id="rId4"/>
    <sheet name="Abastecimiento" sheetId="68" r:id="rId5"/>
    <sheet name="Reporte" sheetId="69" r:id="rId6"/>
    <sheet name="Trabajador" sheetId="70" r:id="rId7"/>
    <sheet name="Cliente" sheetId="88" r:id="rId8"/>
    <sheet name="Produccion" sheetId="90" r:id="rId9"/>
    <sheet name="Información de interes" sheetId="74" r:id="rId10"/>
    <sheet name="Producto" sheetId="75" r:id="rId11"/>
    <sheet name="Estado Producto" sheetId="77" r:id="rId12"/>
    <sheet name="Venta" sheetId="91" r:id="rId13"/>
    <sheet name="Envio" sheetId="92" r:id="rId14"/>
    <sheet name="Tipo Identificacion" sheetId="78" r:id="rId15"/>
    <sheet name="Estado Usuario" sheetId="93" r:id="rId16"/>
    <sheet name="Categoria" sheetId="79" r:id="rId17"/>
    <sheet name="Pais" sheetId="97" r:id="rId18"/>
    <sheet name="Departamento" sheetId="81" r:id="rId19"/>
    <sheet name="Ciudad" sheetId="98" r:id="rId20"/>
    <sheet name="Insumo" sheetId="83" r:id="rId21"/>
    <sheet name="Unidad de medida" sheetId="94" r:id="rId22"/>
    <sheet name="Estado Envio" sheetId="85" r:id="rId23"/>
    <sheet name="Pago" sheetId="95" r:id="rId24"/>
    <sheet name="Forma de pago" sheetId="86" r:id="rId25"/>
    <sheet name="Estado de venta" sheetId="96" r:id="rId26"/>
    <sheet name="Devolucion" sheetId="99" r:id="rId27"/>
  </sheets>
  <externalReferences>
    <externalReference r:id="rId28"/>
  </externalReferences>
  <definedNames>
    <definedName name="_xlnm._FilterDatabase" localSheetId="1" hidden="1">'Listado Objetos de Dominio'!$C$1:$C$25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99" l="1"/>
  <c r="B2" i="99"/>
  <c r="B3" i="98"/>
  <c r="B2" i="98"/>
  <c r="B3" i="93"/>
  <c r="B2" i="93"/>
  <c r="B3" i="97"/>
  <c r="B2" i="97"/>
  <c r="B2" i="96"/>
  <c r="B3" i="96"/>
  <c r="B2" i="86"/>
  <c r="B3" i="86"/>
  <c r="B3" i="95"/>
  <c r="B2" i="95"/>
  <c r="B3" i="94"/>
  <c r="B2" i="94"/>
  <c r="B3" i="92"/>
  <c r="B2" i="92"/>
  <c r="B3" i="91"/>
  <c r="B2" i="91"/>
  <c r="B3" i="90"/>
  <c r="B2" i="90"/>
  <c r="B3" i="88"/>
  <c r="B2" i="88"/>
  <c r="B3" i="85"/>
  <c r="B2" i="85"/>
  <c r="B3" i="83"/>
  <c r="B2" i="83"/>
  <c r="B3" i="81"/>
  <c r="B2" i="81"/>
  <c r="B3" i="79"/>
  <c r="B2" i="79"/>
  <c r="B3" i="78"/>
  <c r="B2" i="78"/>
  <c r="B3" i="77"/>
  <c r="B2" i="77"/>
  <c r="B3" i="75"/>
  <c r="B2" i="75"/>
  <c r="B3" i="74"/>
  <c r="B2" i="74"/>
  <c r="B3" i="70"/>
  <c r="B2" i="70"/>
  <c r="B3" i="69"/>
  <c r="B2" i="69"/>
  <c r="B3" i="66"/>
  <c r="B2" i="66"/>
  <c r="B3" i="68"/>
  <c r="B2" i="68"/>
  <c r="B3" i="24"/>
  <c r="B2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tc={121D74AA-735E-4F68-AA20-442F28223BB7}</author>
  </authors>
  <commentList>
    <comment ref="B7" authorId="0" shapeId="0" xr:uid="{121D74AA-735E-4F68-AA20-442F28223BB7}">
      <text>
        <t>[Threaded comment]
Your version of Excel allows you to read this threaded comment; however, any edits to it will get removed if the file is opened in a newer version of Excel. Learn more: https://go.microsoft.com/fwlink/?linkid=870924
Comment:
    Abonar pago
Reply:
    @Luz Mery Rios Alzate  modificado</t>
      </text>
    </comment>
  </commentList>
</comments>
</file>

<file path=xl/sharedStrings.xml><?xml version="1.0" encoding="utf-8"?>
<sst xmlns="http://schemas.openxmlformats.org/spreadsheetml/2006/main" count="1400" uniqueCount="583">
  <si>
    <t>Nombre</t>
  </si>
  <si>
    <t>Descripción</t>
  </si>
  <si>
    <t>Responsable</t>
  </si>
  <si>
    <t>Proveedor</t>
  </si>
  <si>
    <t>Entidad que representa a las empresas o personas que suministran el abastecimiento del negocio.</t>
  </si>
  <si>
    <t>Alexander</t>
  </si>
  <si>
    <t>Administrador</t>
  </si>
  <si>
    <t xml:space="preserve">Entidad que representa Usuario con privilegios totales sobre la plataforma. Se encarga de configurar parámetros globales, gestionar roles y permisos de Trabajadores y supervisar la generación de Reportes.
</t>
  </si>
  <si>
    <t>Julián</t>
  </si>
  <si>
    <t>Abastecimiento</t>
  </si>
  <si>
    <t>Proceso y registro de la adquisición interna de insumos para producción. Documenta las órdenes de compra, fechas de entrega, cantidades solicitadas y precios que alimentaran el Inventario</t>
  </si>
  <si>
    <t>Reporte</t>
  </si>
  <si>
    <t>Informe que consolida información de los distintos procesos (ventas, compras/abastecimientos, producción, inventario). Generado por Administradores o Trabajadores para apoyar la toma de decisiones estratégicas.</t>
  </si>
  <si>
    <t>Trabajador</t>
  </si>
  <si>
    <t>Empleado del negocio que dispone de un Usuario en el sistema. Ejecuta operaciones como registrar Ventas, registrar Producción, gestionar Abastecimientos y atender consultas.</t>
  </si>
  <si>
    <t>Cliente</t>
  </si>
  <si>
    <t>Comprador de  bloques y materiales. Registra datos de contacto, histórico de pedidos, métodos de pago y preferencias de entrega. Puede interactuar con el portal para ver catálogo y solicitar atención.</t>
  </si>
  <si>
    <t>Información de interes</t>
  </si>
  <si>
    <t>Hace referencia a la información relevante sobre el perfil y finalidad del cliente en relación con los productos, incluyendo el uso previsto y su rol dentro del sector, como constructor, contratista, revendedor, entre otros</t>
  </si>
  <si>
    <t>Producción</t>
  </si>
  <si>
    <t>Registro diario de bloques fabricados: cantidad producida, lote, fecha, insumos  y trabajadores responsables.</t>
  </si>
  <si>
    <t>Producto</t>
  </si>
  <si>
    <t>Definición de cada artículo que el negocio ofrece a sus clientes.</t>
  </si>
  <si>
    <t>Venta</t>
  </si>
  <si>
    <t>Corresponde a la transaccion comercial en la que un cliente adquiere uno o mas productos o servicios a cambio de un pago.</t>
  </si>
  <si>
    <t>Estado Producto</t>
  </si>
  <si>
    <t>Corresponde a cada uno de los tipos de estados que puede tener un producto.</t>
  </si>
  <si>
    <t>Envio</t>
  </si>
  <si>
    <t>Entidad que representa el servicio de transportar los productos adquiridos por un cliente hacia un destino.</t>
  </si>
  <si>
    <t>Tipo Identificación</t>
  </si>
  <si>
    <t>Objeto de dominio que representa a cada uno de los tipos de identificación que puede tener un usuario.</t>
  </si>
  <si>
    <t>Estado Usuario</t>
  </si>
  <si>
    <t>Corresponde a cada uno de los estados que puede tener un Administrador o Trabajador</t>
  </si>
  <si>
    <t xml:space="preserve">Categoría </t>
  </si>
  <si>
    <t>Categoría mediante la cual se agrupan a los productos según sus características y uso</t>
  </si>
  <si>
    <t>País</t>
  </si>
  <si>
    <t>Objeto de dominio que representa a un pais al que pertenecen varios departamentos</t>
  </si>
  <si>
    <t>Departamento</t>
  </si>
  <si>
    <t xml:space="preserve">Objeto de dominio que representa a un departamento al que pertenecen varias ciudades.					</t>
  </si>
  <si>
    <t>Ciudad</t>
  </si>
  <si>
    <t>Objeto de dominio que representa a cada una de las ciudades</t>
  </si>
  <si>
    <t>Insumo</t>
  </si>
  <si>
    <t>Objeto de dominio que representa el  producto consumido para una producción</t>
  </si>
  <si>
    <t>Unidad de medida</t>
  </si>
  <si>
    <t>Objeto de dominio que representa cada unidad de medida que puede tener un producto</t>
  </si>
  <si>
    <t>Estado Envio</t>
  </si>
  <si>
    <t>Objeto de dominio que representa cada estado de envio de una venta</t>
  </si>
  <si>
    <t>Pago</t>
  </si>
  <si>
    <t>Objeto de dominio que representa el pago a una venta</t>
  </si>
  <si>
    <t>Forma de pago</t>
  </si>
  <si>
    <t>Objeto de dominio que representa las diferentes formas de pago</t>
  </si>
  <si>
    <t>Estado Venta</t>
  </si>
  <si>
    <t>Objeto de dominio que representa los diferentes Estados de venta</t>
  </si>
  <si>
    <t>Devolución</t>
  </si>
  <si>
    <t>Registra la devolución total o parcial de productos de una Venta, con su motivo,y método de reembolso (si aplica) y el ajuste de inventario correspondiente.</t>
  </si>
  <si>
    <t>&lt;-Volver al inicio</t>
  </si>
  <si>
    <t>Objeto de Dominio:</t>
  </si>
  <si>
    <t>Descripción:</t>
  </si>
  <si>
    <t>Actor</t>
  </si>
  <si>
    <t>Action/Command</t>
  </si>
  <si>
    <t>Read Model</t>
  </si>
  <si>
    <t>Business Rule/Policy</t>
  </si>
  <si>
    <t>External System</t>
  </si>
  <si>
    <t>Domain Event</t>
  </si>
  <si>
    <t>Hotspot/questions/Risk</t>
  </si>
  <si>
    <t>Eventos Previos</t>
  </si>
  <si>
    <t>Comandos Posteriores</t>
  </si>
  <si>
    <t>Acción</t>
  </si>
  <si>
    <t>Información externa</t>
  </si>
  <si>
    <t>Políticas</t>
  </si>
  <si>
    <t>Sistema Externo</t>
  </si>
  <si>
    <t>Evento</t>
  </si>
  <si>
    <t>Aspectos por solucionar</t>
  </si>
  <si>
    <t>Información</t>
  </si>
  <si>
    <t>Número</t>
  </si>
  <si>
    <t>Registrar Proveedor</t>
  </si>
  <si>
    <t>Permite registrar la información de un nuevo proveedor.</t>
  </si>
  <si>
    <t>PROV-POL-001</t>
  </si>
  <si>
    <t>No permitir duplicidad de  codigo o Razón Social.</t>
  </si>
  <si>
    <t>Proveedor registrado</t>
  </si>
  <si>
    <t xml:space="preserve">
</t>
  </si>
  <si>
    <t>Ninguno</t>
  </si>
  <si>
    <t>Modificar Proveedor</t>
  </si>
  <si>
    <t>Permite actualizar la información de un proveedor existente.</t>
  </si>
  <si>
    <t>PROV-POL-002</t>
  </si>
  <si>
    <t>No permitir modificación de campos clave.</t>
  </si>
  <si>
    <t>Proveedor modificado</t>
  </si>
  <si>
    <t>Consultar Proveedor</t>
  </si>
  <si>
    <t>Administrador/Trabajador</t>
  </si>
  <si>
    <t>Permite consultar información detallada del proveedor, incluyendo historial de abastecimiento y productos asociados.</t>
  </si>
  <si>
    <t>PROV-POL-004</t>
  </si>
  <si>
    <t>Controlar acceso a datos sensibles según perfil de usuario.</t>
  </si>
  <si>
    <t>Proveedor consultado</t>
  </si>
  <si>
    <t>Mantener actualizado el historial.</t>
  </si>
  <si>
    <t>Crear Abastecimiento</t>
  </si>
  <si>
    <t>Consultar lista de Proveedores</t>
  </si>
  <si>
    <t>Permite consultar todos los proveedores registrados, con filtros por estado.</t>
  </si>
  <si>
    <t>PROV-POL-005</t>
  </si>
  <si>
    <t>Permitir filtros avanzados (activo/inactivo)</t>
  </si>
  <si>
    <t>Lista de proveedores consultada</t>
  </si>
  <si>
    <t>Optimizar búsquedas frecuentes.</t>
  </si>
  <si>
    <t>Cambiar estado proveedor</t>
  </si>
  <si>
    <t>Permite cambiar el estado de un proveedor (activo, inactivo).</t>
  </si>
  <si>
    <t>Estados posibles</t>
  </si>
  <si>
    <t>Activo, Inactivo</t>
  </si>
  <si>
    <t>PROV-POL-006</t>
  </si>
  <si>
    <t>Solo se puede cambiar estado si existe proveedor</t>
  </si>
  <si>
    <t>Estado de proveedor cambiado</t>
  </si>
  <si>
    <t>Proveedor creado</t>
  </si>
  <si>
    <t>Consultar proveedor</t>
  </si>
  <si>
    <t>Crear administrador</t>
  </si>
  <si>
    <t>Permite registrar un nuevo usuario administrador.</t>
  </si>
  <si>
    <t>ADM-POL-001</t>
  </si>
  <si>
    <t>Validar que no exista un usuario con el mismo número de identificación y correo electrónico. Validar política de contraseña segura.</t>
  </si>
  <si>
    <t>Administrador creado</t>
  </si>
  <si>
    <t>¿Qué pasa si el correo ya está registrado?, ¿Validar política de contraseña segura?</t>
  </si>
  <si>
    <t>Consultar administrador</t>
  </si>
  <si>
    <t>Permite ver información y detalles de un usuario administrador.</t>
  </si>
  <si>
    <t>ADM-POL-002</t>
  </si>
  <si>
    <t>Mostrar solo datos no sensibles (ej: sin mostrar la contraseña).</t>
  </si>
  <si>
    <t>Administrador consultado</t>
  </si>
  <si>
    <t>¿Quién puede consultar administradores?</t>
  </si>
  <si>
    <t>Modificar administrador</t>
  </si>
  <si>
    <t>Permite modificar datos de un administrador existente.</t>
  </si>
  <si>
    <t>ADM-POL-003</t>
  </si>
  <si>
    <t>No permitir duplicar correo o número de identificación. Validar cambios en roles y permisos.</t>
  </si>
  <si>
    <t>Administrador modificado</t>
  </si>
  <si>
    <t>¿Qué restricciones para modificar datos críticos?</t>
  </si>
  <si>
    <t>Deshabilitar administrador</t>
  </si>
  <si>
    <t>Permite cambiar el estado de un administrador a inactivo (no puede acceder).</t>
  </si>
  <si>
    <t>ADM-POL-004</t>
  </si>
  <si>
    <t>No permitir deshabilitar el último administrador activo.</t>
  </si>
  <si>
    <t>Administrador deshabilitado</t>
  </si>
  <si>
    <t>¿Qué hacer si es el único administrador?</t>
  </si>
  <si>
    <t>Cambiar contraseña</t>
  </si>
  <si>
    <t>Permite restablecer o cambiar la contraseña del administrador.</t>
  </si>
  <si>
    <t>ADM-POL-005</t>
  </si>
  <si>
    <t>Contraseña debe cumplir reglas de seguridad (largo, caracteres especiales, etc).</t>
  </si>
  <si>
    <t>Contraseña modificada</t>
  </si>
  <si>
    <t>¿Política de vencimiento de contraseñas?</t>
  </si>
  <si>
    <t>Iniciar sesión</t>
  </si>
  <si>
    <t>Administrador /Trabajador</t>
  </si>
  <si>
    <t>Crear abastecimiento</t>
  </si>
  <si>
    <t>Registra un nuevo abastecimiento para actualizar el inventario</t>
  </si>
  <si>
    <t>Producto, Proveedor</t>
  </si>
  <si>
    <t>Catálogo de productos y proveedores activos</t>
  </si>
  <si>
    <t>ABAST-POL-001</t>
  </si>
  <si>
    <t>No se permite abastecer con cantidad o precio &lt;= 0</t>
  </si>
  <si>
    <t>Abastecimiento creado</t>
  </si>
  <si>
    <t>Generar entrada de inventario</t>
  </si>
  <si>
    <t>Modificar Abastecimiento</t>
  </si>
  <si>
    <t>Permite actualizar el producto o las cantidades en un abastecimiento</t>
  </si>
  <si>
    <t>Catálogo de productos activos</t>
  </si>
  <si>
    <t>ABAST-POL-002</t>
  </si>
  <si>
    <t>No se permite modificar con cantidad &lt;= 0. Solo si el abastecimiento no ha sido cerrado.</t>
  </si>
  <si>
    <t>Abastecimiento actualizado</t>
  </si>
  <si>
    <t>Actualizar inventario</t>
  </si>
  <si>
    <t>Consultar abastecimientos</t>
  </si>
  <si>
    <t>Permite visualizar los registros de abastecimiento</t>
  </si>
  <si>
    <t>ABAST-POL-003</t>
  </si>
  <si>
    <t>La fecha inicial no debe ser mayor a la fecha final</t>
  </si>
  <si>
    <t>Abastecimiento Encontrado</t>
  </si>
  <si>
    <t>Exportar reporte, ver detalle</t>
  </si>
  <si>
    <t>Generar reporte</t>
  </si>
  <si>
    <t>Permite crear un informe consolidado de ventas, compras, producción e inventario.</t>
  </si>
  <si>
    <t>Fechas, filtros de información</t>
  </si>
  <si>
    <t>Parámetros para filtrar la información</t>
  </si>
  <si>
    <t>REP-POL-001</t>
  </si>
  <si>
    <t>Solo usuarios autenticados pueden generar reportes. Datos deben ser exactos y completos.</t>
  </si>
  <si>
    <t>Reporte generado</t>
  </si>
  <si>
    <t>¿Qué procesos incluir?, ¿Periodicidad máxima?, confidencialidad.</t>
  </si>
  <si>
    <t>Acciones en ventas, compras, etc.</t>
  </si>
  <si>
    <t>Exportar, consultar</t>
  </si>
  <si>
    <t>Consultar reporte</t>
  </si>
  <si>
    <t>Permite visualizar reportes generados anteriormente.</t>
  </si>
  <si>
    <t>Fechas, tipo de reporte</t>
  </si>
  <si>
    <t>Filtros de búsqueda</t>
  </si>
  <si>
    <t>REP-POL-002</t>
  </si>
  <si>
    <t>Solo administradores con permisos pueden consultar reportes históricos.</t>
  </si>
  <si>
    <t>Reporte consultado</t>
  </si>
  <si>
    <t>¿Dónde se almacenan?, ¿Historial completo o parcial?</t>
  </si>
  <si>
    <t>Exportar, eliminar</t>
  </si>
  <si>
    <t>Exportar reporte</t>
  </si>
  <si>
    <t>Permite exportar el reporte a formatos como PDF o Excel.</t>
  </si>
  <si>
    <t>Formato de exportación</t>
  </si>
  <si>
    <t>PDF, Excel, CSV, etc.</t>
  </si>
  <si>
    <t>REP-POL-004</t>
  </si>
  <si>
    <t>Debe respetar formatos estandarizados, incluir metadatos de generación (fecha, usuario).</t>
  </si>
  <si>
    <t>Reporte exportado</t>
  </si>
  <si>
    <t>¿Qué formatos soportar?, ¿Dónde se almacenan los archivos?</t>
  </si>
  <si>
    <t>Registrar Trabajador</t>
  </si>
  <si>
    <t>Crea un nuevo trabajador asignándole un usuario en el sistema</t>
  </si>
  <si>
    <t>TRAB-POL-001</t>
  </si>
  <si>
    <t>Un trabajador no puede registrarse sin un usuario y rol válidos</t>
  </si>
  <si>
    <t>Trabajador registrado</t>
  </si>
  <si>
    <t>Usuario creado</t>
  </si>
  <si>
    <t>Activar usuario en sistema</t>
  </si>
  <si>
    <t>Consultar Trabajadores</t>
  </si>
  <si>
    <t>Permite listar o buscar trabajadores activos o inactivos</t>
  </si>
  <si>
    <t>TRAB-POL-002</t>
  </si>
  <si>
    <t>Validar filtros ingresados. Solo usuarios con permisos pueden consultar.</t>
  </si>
  <si>
    <t>Resultado de consulta</t>
  </si>
  <si>
    <t>¿Muestra también históricos? ¿Requiere paginación si hay muchos registros?</t>
  </si>
  <si>
    <t>Trabajadores registrados</t>
  </si>
  <si>
    <t>Ver detalle de trabajador</t>
  </si>
  <si>
    <t>Modificar datos de Trabajador</t>
  </si>
  <si>
    <t>Actualiza información como rol, estado o área</t>
  </si>
  <si>
    <t>TRAB-POL-003</t>
  </si>
  <si>
    <t>No se puede modificar usuario asignado. Solo se modifican datos administrativos.</t>
  </si>
  <si>
    <t>Datos de trabajador actualizados</t>
  </si>
  <si>
    <t>¿Qué pasa si ya fue desactivado? ¿Se debe notificar al trabajador?</t>
  </si>
  <si>
    <t>Generar nuevo contrato (opcional)</t>
  </si>
  <si>
    <t>Cambiar estado de trabajador</t>
  </si>
  <si>
    <t>Permite activar o inactivar trabajadores del sistema</t>
  </si>
  <si>
    <t>TRAB-POL-004</t>
  </si>
  <si>
    <t>No se puede eliminar. Solo se permite cambiar estado.</t>
  </si>
  <si>
    <t>Estado de trabajador actualizado</t>
  </si>
  <si>
    <t>¿Qué pasa si tiene tareas asignadas pendientes? ¿Se notificará al jefe inmediato?</t>
  </si>
  <si>
    <t>Reasignar funciones si aplica</t>
  </si>
  <si>
    <t>Registrar cliente</t>
  </si>
  <si>
    <t>Permite agregar un nuevo cliente (nombre, documento, contacto, tipo, etc.).</t>
  </si>
  <si>
    <t>Datos del cliente</t>
  </si>
  <si>
    <t>Nombre, documento, contacto</t>
  </si>
  <si>
    <t>CLI-POL-001</t>
  </si>
  <si>
    <t>Validar que no exista el mismo documento.</t>
  </si>
  <si>
    <t>Cliente registrado</t>
  </si>
  <si>
    <t>¿Validar duplicados?</t>
  </si>
  <si>
    <t>Actualizar, consultar cliente</t>
  </si>
  <si>
    <t>Actualizar cliente</t>
  </si>
  <si>
    <t>Modifica datos de un cliente existente.</t>
  </si>
  <si>
    <t>Nuevo dato del cliente</t>
  </si>
  <si>
    <t>Cambios en contacto, nombre, etc.</t>
  </si>
  <si>
    <t>CLI-POL-002</t>
  </si>
  <si>
    <t>Solo trabajadores pueden modificar.</t>
  </si>
  <si>
    <t>Cliente actualizado</t>
  </si>
  <si>
    <t>¿Registrar historial de cambios?</t>
  </si>
  <si>
    <t>Consultar cliente</t>
  </si>
  <si>
    <t>Permite buscar clientes para asociar a ventas y visualizar historial.</t>
  </si>
  <si>
    <t>Documento, nombre, teléfono</t>
  </si>
  <si>
    <t>CLI-POL-003</t>
  </si>
  <si>
    <t>Solo personal autorizado puede consultar.</t>
  </si>
  <si>
    <t>Cliente consultado</t>
  </si>
  <si>
    <t>¿Paginación?, ¿Búsqueda por varios campos?</t>
  </si>
  <si>
    <t>Registrar/Actualizar cliente</t>
  </si>
  <si>
    <t>Asociar cliente a venta</t>
  </si>
  <si>
    <t>Registrar producción</t>
  </si>
  <si>
    <t>Permite ingresar el registro de la producción diaria: producto, cantidades, insumos.</t>
  </si>
  <si>
    <t>Producto, Insumo, Trabajador</t>
  </si>
  <si>
    <t>Datos de producto, insumos utilizados, etc.</t>
  </si>
  <si>
    <t>PROD-POL-001</t>
  </si>
  <si>
    <t>No se puede registrar cantidades menores o iguales a cero.</t>
  </si>
  <si>
    <t>Producción registrada</t>
  </si>
  <si>
    <t>¿Cómo validar insumos usados vs inventario disponible?</t>
  </si>
  <si>
    <t>Insumos disponibles</t>
  </si>
  <si>
    <t>Consultar producción, Actualizar producción</t>
  </si>
  <si>
    <t>Consultar producción</t>
  </si>
  <si>
    <t>Permite visualizar el histórico de registros de producción.</t>
  </si>
  <si>
    <t>Filtros por fecha, producto</t>
  </si>
  <si>
    <t>Buscar por fechas, trabajador, producto</t>
  </si>
  <si>
    <t>PROD-POL-002</t>
  </si>
  <si>
    <t>Solo usuarios autorizados pueden consultar.</t>
  </si>
  <si>
    <t>Producción consultada</t>
  </si>
  <si>
    <t>¿Cómo mostrar sólo registros activos?</t>
  </si>
  <si>
    <t>Actualizar producción</t>
  </si>
  <si>
    <t>Permite modificar un registro de producción por errores detectados.</t>
  </si>
  <si>
    <t>Código de producción</t>
  </si>
  <si>
    <t>Identificador de registro</t>
  </si>
  <si>
    <t>PROD-POL-003</t>
  </si>
  <si>
    <t>Solo se puede modificar si el registro no está asociado a venta.</t>
  </si>
  <si>
    <t>Producción actualizada</t>
  </si>
  <si>
    <t>Eliminar registro producción</t>
  </si>
  <si>
    <t>Permite eliminar un registro si fue creado por error.</t>
  </si>
  <si>
    <t>PROD-POL-004</t>
  </si>
  <si>
    <t>Solo registros del mismo día, y sin ventas asociadas.</t>
  </si>
  <si>
    <t>Producción eliminada</t>
  </si>
  <si>
    <t>Registrar información interés</t>
  </si>
  <si>
    <t>Permite agregar el perfil y finalidad de un cliente (rol, uso previsto, actividad, etc.).</t>
  </si>
  <si>
    <t>Cliente, productos</t>
  </si>
  <si>
    <t>Información básica del cliente</t>
  </si>
  <si>
    <t>INF-POL-001</t>
  </si>
  <si>
    <t>No permitir duplicados para un mismo cliente.</t>
  </si>
  <si>
    <t>Información de interés creada</t>
  </si>
  <si>
    <t>¿Qué hacer si ya existe para ese cliente?</t>
  </si>
  <si>
    <t>Actualizar información de interés</t>
  </si>
  <si>
    <t>Actualizar información</t>
  </si>
  <si>
    <t>Modifica datos sobre el uso de productos o el rol del cliente.</t>
  </si>
  <si>
    <t>Cliente, nueva actividad</t>
  </si>
  <si>
    <t>Cambios en actividad o uso</t>
  </si>
  <si>
    <t>INF-POL-002</t>
  </si>
  <si>
    <t>Solo se puede actualizar si existe un registro previo.</t>
  </si>
  <si>
    <t>Información de interés actualizada</t>
  </si>
  <si>
    <t>Consultar información de interés</t>
  </si>
  <si>
    <t>Consultar información</t>
  </si>
  <si>
    <t>Permite ver la finalidad y actividad principal de cada cliente.</t>
  </si>
  <si>
    <t>Filtros por cliente</t>
  </si>
  <si>
    <t>Búsqueda por nombre, documento</t>
  </si>
  <si>
    <t>INF-POL-003</t>
  </si>
  <si>
    <t>Solo trabajadores pueden consultar información sensible.</t>
  </si>
  <si>
    <t>Información de interés consultada</t>
  </si>
  <si>
    <t>¿Mostrar solo información activa?</t>
  </si>
  <si>
    <t>Registrar/Actualizar información</t>
  </si>
  <si>
    <t>Crear producto</t>
  </si>
  <si>
    <t>Permite registrar un nuevo producto disponible en el negocio</t>
  </si>
  <si>
    <t>Nombre, Unidad de Medida, Precio</t>
  </si>
  <si>
    <t>Nombre comercial, categoría, unidad (kg, un, m³), estado inicial (Activo), precio base</t>
  </si>
  <si>
    <t>Validar que no exista un producto con el mismo nombre y unidad de medida</t>
  </si>
  <si>
    <t>No</t>
  </si>
  <si>
    <t>Producto registrado</t>
  </si>
  <si>
    <t>¿Qué hacer si hay productos similares con diferencias mínimas? ¿Se puede clonar productos?</t>
  </si>
  <si>
    <t>Actualizar producto</t>
  </si>
  <si>
    <t>Modificar producto</t>
  </si>
  <si>
    <t>Permite actualizar atributos del producto como nombre, unidad, categoría o precio</t>
  </si>
  <si>
    <t>ID del producto, nuevos datos</t>
  </si>
  <si>
    <t>Cambios permitidos para productos activos</t>
  </si>
  <si>
    <t>Solo se permite modificar si no está vinculado a transacciones abiertas</t>
  </si>
  <si>
    <t>Producto actualizado</t>
  </si>
  <si>
    <t>¿Qué pasa si el producto ya fue abastecido o vendido? ¿Se deben registrar versiones?</t>
  </si>
  <si>
    <t>Actualizar categoria</t>
  </si>
  <si>
    <t>cambiar estado producto</t>
  </si>
  <si>
    <t>Permite marcar un producto como inactivo o activo para que no sea ofrecido</t>
  </si>
  <si>
    <t>ID del producto</t>
  </si>
  <si>
    <t xml:space="preserve">Permite cambiar el estado a un producto </t>
  </si>
  <si>
    <t>Estado producto modificado</t>
  </si>
  <si>
    <t>Actualizar disponibilidad</t>
  </si>
  <si>
    <t>Consultar producto</t>
  </si>
  <si>
    <t>Permite visualizar la información detallada de un producto específico</t>
  </si>
  <si>
    <t>Retorna todos los datos asociados incluyendo historial de cambios</t>
  </si>
  <si>
    <t>Solo accesible para usuarios con permisos adecuados</t>
  </si>
  <si>
    <t>Producto consultado</t>
  </si>
  <si>
    <t>¿Debe incluir registros históricos de precio y estado?</t>
  </si>
  <si>
    <t>Visualizar historial</t>
  </si>
  <si>
    <t>Buscar productos disponibles</t>
  </si>
  <si>
    <t>Permite visualizar los productos activos disponibles para la venta</t>
  </si>
  <si>
    <t>Filtros: nombre, categoría, estado</t>
  </si>
  <si>
    <t>Se listan solo los productos con estado activo</t>
  </si>
  <si>
    <t>PROD-POL-005</t>
  </si>
  <si>
    <t>Filtrar solo productos activos y con stock disponible</t>
  </si>
  <si>
    <t>Productos listados</t>
  </si>
  <si>
    <t>¿Qué hacer si no hay stock? ¿Se puede sugerir sustitutos?</t>
  </si>
  <si>
    <t>Productos activos</t>
  </si>
  <si>
    <t>Registrar venta</t>
  </si>
  <si>
    <t>Consultar</t>
  </si>
  <si>
    <t>Permite visualizar el listado de estados de producto.</t>
  </si>
  <si>
    <t>-</t>
  </si>
  <si>
    <t>ESTPRO-POL-01</t>
  </si>
  <si>
    <t>Solo lectura, no permite crear, modificar ni eliminar datos.</t>
  </si>
  <si>
    <t>Estados consultados</t>
  </si>
  <si>
    <t>¿Qué hacer si no existen estados registrados?</t>
  </si>
  <si>
    <t>Crear una nueva venta, asociando cliente (opcional), listado de productos y cantidades, y posible envío.</t>
  </si>
  <si>
    <t>Cliente, Producto, Inventario, Envío</t>
  </si>
  <si>
    <t>Cliente a quien se le vende, productos y stock, envío disponible</t>
  </si>
  <si>
    <t>VTA-POL-001</t>
  </si>
  <si>
    <t>No permitir venta si hay productos sin suficiente stock.Si hay envío, validar datos completos.</t>
  </si>
  <si>
    <t>Venta registrada</t>
  </si>
  <si>
    <t>¿Qué pasa si el stock cambia durante el registro?¿Qué datos mínimos del envío se requieren?</t>
  </si>
  <si>
    <t>Cliente, productos e inventario existen</t>
  </si>
  <si>
    <t>Registrar pago, Asignar envío, Consultar ventas</t>
  </si>
  <si>
    <t>Consultar ventas</t>
  </si>
  <si>
    <t>Ver historial de ventas con detalle de productos, cantidades, cliente, pagos y estado del envío.</t>
  </si>
  <si>
    <t>Cliente, Producto, Envío, Pago</t>
  </si>
  <si>
    <t>Filtrar por cliente, producto, estado de envío, fechas, etc.</t>
  </si>
  <si>
    <t>VTA-POL-002</t>
  </si>
  <si>
    <t>Solo usuarios autorizados pueden consultar ventas.</t>
  </si>
  <si>
    <t>Ventas consultadas</t>
  </si>
  <si>
    <t>¿Mostrar solo ventas activas o también anuladas?</t>
  </si>
  <si>
    <t>Modificar venta</t>
  </si>
  <si>
    <t>Editar datos de una venta pendiente, incluidos productos, cantidades, cliente o envío.</t>
  </si>
  <si>
    <t>Código de venta, Cliente, Producto, Envío</t>
  </si>
  <si>
    <t>Identificador de venta, nuevo cliente, productos o envío</t>
  </si>
  <si>
    <t>VTA-POL-003</t>
  </si>
  <si>
    <t>Solo modificar si la venta está pendiente y sin pagos o entrega.</t>
  </si>
  <si>
    <t>Venta modificada</t>
  </si>
  <si>
    <t>¿Cómo actualizar reserva de inventario y estado del envío?</t>
  </si>
  <si>
    <t>Asignar envío</t>
  </si>
  <si>
    <t>Asociar o modificar el envío de una venta.</t>
  </si>
  <si>
    <t>Envío, Código de venta</t>
  </si>
  <si>
    <t>Identificador de envío, venta</t>
  </si>
  <si>
    <t>VTA-POL-005</t>
  </si>
  <si>
    <t>Solo si el envío está disponible y la venta está pendiente de entrega.</t>
  </si>
  <si>
    <t>Envío asignado</t>
  </si>
  <si>
    <t>¿Qué pasa si el envío ya está finalizado?</t>
  </si>
  <si>
    <t>Modificar venta, Consultar ventas</t>
  </si>
  <si>
    <t>Crear envío</t>
  </si>
  <si>
    <t>Registrar un nuevo envío, asociándolo a una venta, destino y datos del transporte.</t>
  </si>
  <si>
    <t>Venta, Ciudad</t>
  </si>
  <si>
    <t>Venta asociada, datos de destino</t>
  </si>
  <si>
    <t>ENV-POL-001</t>
  </si>
  <si>
    <t>Solo se puede crear envío para ventas con estado “pendiente de envío”. Validar que los datos de dirección sean correctos.</t>
  </si>
  <si>
    <t>Envío creado</t>
  </si>
  <si>
    <t>Consultar envío, Actualizar envío</t>
  </si>
  <si>
    <t>Consultar envío</t>
  </si>
  <si>
    <t>Ver detalle del envío, incluyendo estado, destino, y productos transportados.</t>
  </si>
  <si>
    <t>Identificar productos enviados, estado y trazabilidad</t>
  </si>
  <si>
    <t>ENV-POL-002</t>
  </si>
  <si>
    <t>Solo usuarios autorizados pueden consultar datos de envío.</t>
  </si>
  <si>
    <t>Envío consultado</t>
  </si>
  <si>
    <t>Actualizar estado</t>
  </si>
  <si>
    <t>Cambiar estado del envío (pendiente, entregado, anulado, etc).</t>
  </si>
  <si>
    <t>Código de envío</t>
  </si>
  <si>
    <t>Estado nuevo del envío</t>
  </si>
  <si>
    <t>ENV-POL-003</t>
  </si>
  <si>
    <t>Solo estados válidos (no saltar estados)</t>
  </si>
  <si>
    <t>Estado actualizado</t>
  </si>
  <si>
    <t>Envío creado, envío consultado</t>
  </si>
  <si>
    <t>Anular envío</t>
  </si>
  <si>
    <t>Cancelar un envío antes de que sea entregado.</t>
  </si>
  <si>
    <t>Identificador del envío a anular</t>
  </si>
  <si>
    <t>ENV-POL-004</t>
  </si>
  <si>
    <t>Solo envíos en estado “pendiente” pueden anularse.Actualizar venta asociada.</t>
  </si>
  <si>
    <t>Envío anulado</t>
  </si>
  <si>
    <t>Modificar destino</t>
  </si>
  <si>
    <t>Cambiar la dirección de entrega si el envío aún no ha salido.</t>
  </si>
  <si>
    <t>Código de envío, nueva ciudad</t>
  </si>
  <si>
    <t>Nueva dirección de entrega</t>
  </si>
  <si>
    <t>ENV-POL-005</t>
  </si>
  <si>
    <t>Solo si el envío está “pendiente”.</t>
  </si>
  <si>
    <t>Destino modificado</t>
  </si>
  <si>
    <t>¿Validar costos adicionales?¿Registrar motivo del cambio?</t>
  </si>
  <si>
    <t>Consultar envío, Actualizar estado</t>
  </si>
  <si>
    <t>Agregar un nuevo tipo identificación.</t>
  </si>
  <si>
    <t>Permite registrar la información de un nuevo tipo identificación.</t>
  </si>
  <si>
    <t> </t>
  </si>
  <si>
    <t>Tipo-identificacion-POL-001</t>
  </si>
  <si>
    <t>Asegurar que no exista otro tipo identificación con el mismo identificador.</t>
  </si>
  <si>
    <t>Nuevo tipo identificación registrado.</t>
  </si>
  <si>
    <t>Eliminar Tipo Identificación</t>
  </si>
  <si>
    <t>Tipo-identificacion-POL-002</t>
  </si>
  <si>
    <t>Asegurar que no exista otro tipo identificación con el mismo nombre.</t>
  </si>
  <si>
    <t>Tipo-identificacion-POL-003</t>
  </si>
  <si>
    <t>Asegurar que los datos requeridos para llevar a cabo la acción sean válidos a nivel de tipo de dato, longitud, obligatoriedad, formato y rango.</t>
  </si>
  <si>
    <t>Modificar Tipo identificación</t>
  </si>
  <si>
    <t xml:space="preserve">Administrador </t>
  </si>
  <si>
    <t>Modificar un tipo identificación existente.</t>
  </si>
  <si>
    <t>Permite modificar la sigla y la descripción de un tipo identificación existente.</t>
  </si>
  <si>
    <t>Asegurar que los datos requeridos para llevar a cabo la acción de modificación sean válidos a nivel de tipo de dato, longitud, obligatoriedad, formato y rango.</t>
  </si>
  <si>
    <t>Tipo identificación modificado.</t>
  </si>
  <si>
    <t>Tipo Identificación agregado</t>
  </si>
  <si>
    <t>Eliminar un tipo identificación  existente.</t>
  </si>
  <si>
    <t>Permite eliminar un tipo identificación existente.</t>
  </si>
  <si>
    <t>Tipo-identificacion-POL-004</t>
  </si>
  <si>
    <t>Asegurar que el Tipo Identificación no esté siendo utilizado por otro Objeto.</t>
  </si>
  <si>
    <t>Tipo identificación eliminado.</t>
  </si>
  <si>
    <t>Agregar Tipo Identificación</t>
  </si>
  <si>
    <t>Permite consultar los estados de usuario disponibles</t>
  </si>
  <si>
    <t>No aplica</t>
  </si>
  <si>
    <t>ESTUSU-001</t>
  </si>
  <si>
    <t>Solo consulta, no permite modificaciones</t>
  </si>
  <si>
    <t>Estados de usuario consultados</t>
  </si>
  <si>
    <t>Crear categoría</t>
  </si>
  <si>
    <t>Permite registrar una nueva categoría de productos</t>
  </si>
  <si>
    <t>Nombre categoría</t>
  </si>
  <si>
    <t xml:space="preserve">Nombre que agrupa productos por tipo o uso </t>
  </si>
  <si>
    <t>CAT-POL-001</t>
  </si>
  <si>
    <t>No debe existir otra categoría con el mismo nombre</t>
  </si>
  <si>
    <t>Categoría registrada</t>
  </si>
  <si>
    <t>¿Debe validarse por nombre exacto o nombre y tipo de productos asociados?</t>
  </si>
  <si>
    <t>Asociar productos</t>
  </si>
  <si>
    <t>Modificar categoría</t>
  </si>
  <si>
    <t>Permite modificar el nombre o descripción de una categoría existente</t>
  </si>
  <si>
    <t>ID categoría, nuevo nombre</t>
  </si>
  <si>
    <t>Solo si no está asociada a producto</t>
  </si>
  <si>
    <t>CAT-POL-002</t>
  </si>
  <si>
    <t>No permitir modificación si hay productos activos asociados</t>
  </si>
  <si>
    <t>Categoría actualizada</t>
  </si>
  <si>
    <t>¿Qué hacer si hay productos asociados? ¿Permitir solo cambios menores como descripción?</t>
  </si>
  <si>
    <t>Categoría creada</t>
  </si>
  <si>
    <t>Trabajador/administrador</t>
  </si>
  <si>
    <t>Permite obtener el listado de países registrados.</t>
  </si>
  <si>
    <t>PAIS-001</t>
  </si>
  <si>
    <t>Solo consulta, no se permite edición.</t>
  </si>
  <si>
    <t>Países consultados</t>
  </si>
  <si>
    <t>¿Qué hacer si no hay países cargados?</t>
  </si>
  <si>
    <t>Permite obtener el listado de Departamentos.</t>
  </si>
  <si>
    <t>DEPTO-001</t>
  </si>
  <si>
    <t>Departamentos consultados</t>
  </si>
  <si>
    <t>¿Qué hacer si no hay departamentos?</t>
  </si>
  <si>
    <t>Permite obtener el listado de ciudades.</t>
  </si>
  <si>
    <t>CIUD-001</t>
  </si>
  <si>
    <t>ciudades consultados</t>
  </si>
  <si>
    <t>¿Qué hacer si no hay Municipios Registrados?</t>
  </si>
  <si>
    <t>Registrar insumo</t>
  </si>
  <si>
    <t>Permite registrar un nuevo insumo utilizado en una producción</t>
  </si>
  <si>
    <t>Producto, Producción</t>
  </si>
  <si>
    <t>Insumo registrado</t>
  </si>
  <si>
    <t>INS-POL-001</t>
  </si>
  <si>
    <t>No se puede registrar un insumo sin asociarlo a una producción y un producto.</t>
  </si>
  <si>
    <t>¿Qué ocurre si el insumo ya fue registrado para esa producción?</t>
  </si>
  <si>
    <t>Producción creada</t>
  </si>
  <si>
    <t>Consultar insumos, Generar reporte</t>
  </si>
  <si>
    <t>Consultar insumos</t>
  </si>
  <si>
    <t>Permite visualizar los insumos utilizados en una o varias producciones</t>
  </si>
  <si>
    <t>Filtro por fecha o producción</t>
  </si>
  <si>
    <t>Listado de insumos utilizados</t>
  </si>
  <si>
    <t>INS-POL-002</t>
  </si>
  <si>
    <t>Solo usuarios autorizados pueden consultar el historial de insumos.</t>
  </si>
  <si>
    <t>Insumos consultados</t>
  </si>
  <si>
    <t>¿Cómo se filtra entre insumos activos e históricos?</t>
  </si>
  <si>
    <t>Insumos registrados</t>
  </si>
  <si>
    <t>Exportar reporte, Ver inventario</t>
  </si>
  <si>
    <t>Modificar cantidad</t>
  </si>
  <si>
    <t>Permite modificar la cantidad usada de un insumo registrado</t>
  </si>
  <si>
    <t>Código de insumo, nueva cantidad</t>
  </si>
  <si>
    <t>Insumo actualizado</t>
  </si>
  <si>
    <t>INS-POL-003</t>
  </si>
  <si>
    <t>La cantidad debe ser mayor a cero y no puede superar el stock disponible.</t>
  </si>
  <si>
    <t>¿Puede modificarse si ya fue reflejado en inventario?</t>
  </si>
  <si>
    <t>Consultar insumo</t>
  </si>
  <si>
    <t>Permite visualizar el listado de unidades de medida.</t>
  </si>
  <si>
    <t>UNDMED-POL-01</t>
  </si>
  <si>
    <t>Unidades consultadas</t>
  </si>
  <si>
    <t>¿Qué hacer si no existen unidades registradas?</t>
  </si>
  <si>
    <t>Permite consultar los estados de envío disponibles.</t>
  </si>
  <si>
    <t>ENV-EST-001</t>
  </si>
  <si>
    <t>Solo consulta, no se permite modificación.</t>
  </si>
  <si>
    <t>Estados de envío consultados</t>
  </si>
  <si>
    <t>¿Qué hacer si no hay estados definidos?</t>
  </si>
  <si>
    <t>Abonar pago</t>
  </si>
  <si>
    <t>Permite registrar un pago asociado a una venta.</t>
  </si>
  <si>
    <t>Catálogo de ventas</t>
  </si>
  <si>
    <t>Listado de ventas activas</t>
  </si>
  <si>
    <t>PAG-POL-001</t>
  </si>
  <si>
    <t>Validar que la venta exista y esté activa.</t>
  </si>
  <si>
    <t>Pago registrado</t>
  </si>
  <si>
    <t>¿Qué hacer si la venta está cerrada?</t>
  </si>
  <si>
    <t>Venta creada</t>
  </si>
  <si>
    <t>Consultar pago</t>
  </si>
  <si>
    <t>Registrar pago</t>
  </si>
  <si>
    <t>Permite registrar un pago con diferentes formas de pago (efectivo, tarjeta).</t>
  </si>
  <si>
    <t>Catálogo formas de pago</t>
  </si>
  <si>
    <t>Listado de formas de pago permitidas</t>
  </si>
  <si>
    <t>PAG-POL-002</t>
  </si>
  <si>
    <t>No permitir pago con monto &lt;= 0.Validar forma de pago permitida.</t>
  </si>
  <si>
    <t>Pago registrado correctamente</t>
  </si>
  <si>
    <t>Permite visualizar los pagos realizados a una venta o consultar históricos.</t>
  </si>
  <si>
    <t>Catálogo de pagos</t>
  </si>
  <si>
    <t>Listado histórico de pagos</t>
  </si>
  <si>
    <t>PAG-POL-003</t>
  </si>
  <si>
    <t>Solo mostrar pagos existentes.Filtrar por rango de fechas, cliente, venta.</t>
  </si>
  <si>
    <t>Pagos consultados</t>
  </si>
  <si>
    <t>¿Qué hacer si no existen pagos para la venta consultada?</t>
  </si>
  <si>
    <t>Modificar pago</t>
  </si>
  <si>
    <t>Permite actualizar datos de un pago registrado (monto, forma, etc).</t>
  </si>
  <si>
    <t>Listado de pagos</t>
  </si>
  <si>
    <t>PAG-POL-005</t>
  </si>
  <si>
    <t>Solo modificar pagos asociados a ventas abiertas. Registrar motivo de modificación.</t>
  </si>
  <si>
    <t>Pago modificado</t>
  </si>
  <si>
    <t>Consultar formas</t>
  </si>
  <si>
    <t>Permite listar las formas de pago disponibles</t>
  </si>
  <si>
    <t>Devuelve listado ordenado de formas de pago registradas</t>
  </si>
  <si>
    <t>FP-POL-001</t>
  </si>
  <si>
    <t>Formas de pago no deben estar duplicadas</t>
  </si>
  <si>
    <t>Formas de pago consultadas</t>
  </si>
  <si>
    <t>Asignación forma de pago a un pago</t>
  </si>
  <si>
    <t>Consultar estado venta</t>
  </si>
  <si>
    <t>Permite visualizar los diferentes estados posibles de una venta.</t>
  </si>
  <si>
    <t>Catálogo de estados de venta</t>
  </si>
  <si>
    <t xml:space="preserve">Listado de estados </t>
  </si>
  <si>
    <t>ESTV-POL-001</t>
  </si>
  <si>
    <t>Solo mostrar estados válidos.</t>
  </si>
  <si>
    <t>Registrar devolución</t>
  </si>
  <si>
    <t>Crear una nueva devolución, asociandoVenta, listado de productos y cantidades,</t>
  </si>
  <si>
    <t>Cliente, Producto, Inventario, Venta</t>
  </si>
  <si>
    <t>Venta realizada a un cliente</t>
  </si>
  <si>
    <t>DEV-POL-001</t>
  </si>
  <si>
    <t>No permitir devolución los productos a devolver excede la cantidad del producto en la venta</t>
  </si>
  <si>
    <t>Devolución registrada</t>
  </si>
  <si>
    <t>¿Qué pasa cuando se realizan varias devoluciones de una venta ?</t>
  </si>
  <si>
    <t>Cliente, productos y venta</t>
  </si>
  <si>
    <t>Actualizar devolución</t>
  </si>
  <si>
    <t>Consultar devolución</t>
  </si>
  <si>
    <t>Ver historial de devolución con detalle de productos, cantidades, cliente y venta</t>
  </si>
  <si>
    <t>Cliente, Producto, Venta</t>
  </si>
  <si>
    <t>Filtrar por cliente y venta</t>
  </si>
  <si>
    <t>DEV-POL-002</t>
  </si>
  <si>
    <t>Solo usuarios autorizados pueden consultar devoluciones.</t>
  </si>
  <si>
    <t>Devoluciones consultadas</t>
  </si>
  <si>
    <t>Editar datos de una devolución, incluidos productos y cantidade</t>
  </si>
  <si>
    <t>Código de devolución, Cliente, Producto</t>
  </si>
  <si>
    <t xml:space="preserve">Identificador de devolución, cliente y productos </t>
  </si>
  <si>
    <t>DEV-POL-003</t>
  </si>
  <si>
    <t>Devolución modificada</t>
  </si>
  <si>
    <t>Venta registrada, Devolución registrada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</si>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</sst>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CFCAA"/>
        <bgColor indexed="64"/>
      </patternFill>
    </fill>
    <fill>
      <patternFill patternType="solid">
        <fgColor rgb="FFFDD3FA"/>
        <bgColor indexed="64"/>
      </patternFill>
    </fill>
    <fill>
      <patternFill patternType="solid">
        <fgColor rgb="FFFA90B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3895D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theme="4" tint="0.39997558519241921"/>
      </bottom>
      <diagonal/>
    </border>
    <border>
      <left/>
      <right/>
      <top style="thin">
        <color rgb="FF000000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7" borderId="2" xfId="0" applyFont="1" applyFill="1" applyBorder="1" applyAlignment="1">
      <alignment vertical="center"/>
    </xf>
    <xf numFmtId="0" fontId="4" fillId="7" borderId="5" xfId="0" applyFont="1" applyFill="1" applyBorder="1" applyAlignment="1">
      <alignment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4" fillId="12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quotePrefix="1"/>
    <xf numFmtId="0" fontId="5" fillId="15" borderId="21" xfId="0" applyFont="1" applyFill="1" applyBorder="1"/>
    <xf numFmtId="0" fontId="5" fillId="0" borderId="26" xfId="0" applyFont="1" applyBorder="1"/>
    <xf numFmtId="0" fontId="5" fillId="0" borderId="27" xfId="0" applyFont="1" applyBorder="1" applyAlignment="1">
      <alignment wrapText="1"/>
    </xf>
    <xf numFmtId="0" fontId="5" fillId="0" borderId="30" xfId="0" applyFont="1" applyBorder="1"/>
    <xf numFmtId="0" fontId="5" fillId="0" borderId="31" xfId="0" applyFont="1" applyBorder="1" applyAlignment="1">
      <alignment wrapText="1"/>
    </xf>
    <xf numFmtId="0" fontId="5" fillId="0" borderId="22" xfId="0" applyFont="1" applyBorder="1"/>
    <xf numFmtId="0" fontId="5" fillId="15" borderId="32" xfId="0" applyFont="1" applyFill="1" applyBorder="1" applyAlignment="1">
      <alignment wrapText="1"/>
    </xf>
    <xf numFmtId="0" fontId="5" fillId="0" borderId="33" xfId="0" applyFont="1" applyBorder="1"/>
    <xf numFmtId="0" fontId="5" fillId="15" borderId="36" xfId="0" applyFont="1" applyFill="1" applyBorder="1"/>
    <xf numFmtId="0" fontId="5" fillId="0" borderId="39" xfId="0" applyFont="1" applyBorder="1"/>
    <xf numFmtId="0" fontId="5" fillId="0" borderId="32" xfId="0" applyFont="1" applyBorder="1"/>
    <xf numFmtId="0" fontId="5" fillId="0" borderId="40" xfId="0" applyFont="1" applyBorder="1" applyAlignment="1">
      <alignment wrapText="1"/>
    </xf>
    <xf numFmtId="0" fontId="5" fillId="0" borderId="41" xfId="0" applyFont="1" applyBorder="1"/>
    <xf numFmtId="0" fontId="5" fillId="0" borderId="37" xfId="0" applyFont="1" applyBorder="1" applyAlignment="1">
      <alignment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 wrapText="1"/>
    </xf>
    <xf numFmtId="0" fontId="5" fillId="0" borderId="21" xfId="0" applyFont="1" applyBorder="1"/>
    <xf numFmtId="0" fontId="5" fillId="15" borderId="21" xfId="0" applyFont="1" applyFill="1" applyBorder="1" applyAlignment="1">
      <alignment wrapText="1"/>
    </xf>
    <xf numFmtId="0" fontId="5" fillId="15" borderId="22" xfId="0" applyFont="1" applyFill="1" applyBorder="1" applyAlignment="1">
      <alignment wrapText="1"/>
    </xf>
    <xf numFmtId="0" fontId="5" fillId="0" borderId="39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0" xfId="0" applyBorder="1" applyAlignment="1">
      <alignment vertical="center" wrapText="1"/>
    </xf>
    <xf numFmtId="0" fontId="0" fillId="0" borderId="42" xfId="0" applyBorder="1" applyAlignment="1">
      <alignment vertical="center" wrapText="1"/>
    </xf>
    <xf numFmtId="0" fontId="0" fillId="0" borderId="43" xfId="0" applyBorder="1" applyAlignment="1">
      <alignment vertical="center" wrapText="1"/>
    </xf>
    <xf numFmtId="0" fontId="4" fillId="12" borderId="44" xfId="0" applyFont="1" applyFill="1" applyBorder="1" applyAlignment="1">
      <alignment horizontal="center" vertical="center" wrapText="1"/>
    </xf>
    <xf numFmtId="0" fontId="4" fillId="8" borderId="4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2" fillId="4" borderId="1" xfId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0" borderId="1" xfId="0" quotePrefix="1" applyBorder="1"/>
    <xf numFmtId="0" fontId="2" fillId="4" borderId="45" xfId="1" applyFill="1" applyBorder="1" applyAlignment="1">
      <alignment horizontal="center" vertical="center"/>
    </xf>
    <xf numFmtId="0" fontId="0" fillId="4" borderId="46" xfId="0" applyFill="1" applyBorder="1" applyAlignment="1">
      <alignment horizontal="center" vertical="center" wrapText="1"/>
    </xf>
    <xf numFmtId="0" fontId="2" fillId="0" borderId="0" xfId="1" applyBorder="1" applyAlignment="1">
      <alignment horizontal="left" vertical="center"/>
    </xf>
    <xf numFmtId="0" fontId="4" fillId="9" borderId="5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 vertical="center"/>
    </xf>
    <xf numFmtId="0" fontId="2" fillId="0" borderId="0" xfId="1" applyAlignment="1">
      <alignment horizontal="left" vertical="center"/>
    </xf>
    <xf numFmtId="0" fontId="1" fillId="14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15" borderId="20" xfId="0" applyFont="1" applyFill="1" applyBorder="1" applyAlignment="1">
      <alignment horizontal="center"/>
    </xf>
    <xf numFmtId="0" fontId="5" fillId="15" borderId="22" xfId="0" applyFont="1" applyFill="1" applyBorder="1" applyAlignment="1">
      <alignment horizontal="center"/>
    </xf>
    <xf numFmtId="0" fontId="5" fillId="15" borderId="20" xfId="0" applyFont="1" applyFill="1" applyBorder="1" applyAlignment="1">
      <alignment vertical="center"/>
    </xf>
    <xf numFmtId="0" fontId="5" fillId="15" borderId="22" xfId="0" applyFont="1" applyFill="1" applyBorder="1" applyAlignment="1">
      <alignment vertical="center"/>
    </xf>
    <xf numFmtId="0" fontId="5" fillId="0" borderId="14" xfId="0" applyFont="1" applyBorder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0" fontId="5" fillId="0" borderId="16" xfId="0" applyFont="1" applyBorder="1" applyAlignment="1">
      <alignment horizontal="center" wrapText="1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15" borderId="34" xfId="0" applyFont="1" applyFill="1" applyBorder="1" applyAlignment="1">
      <alignment vertical="center"/>
    </xf>
    <xf numFmtId="0" fontId="5" fillId="15" borderId="35" xfId="0" applyFont="1" applyFill="1" applyBorder="1" applyAlignment="1">
      <alignment vertical="center"/>
    </xf>
    <xf numFmtId="0" fontId="5" fillId="15" borderId="21" xfId="0" applyFont="1" applyFill="1" applyBorder="1" applyAlignment="1">
      <alignment horizontal="center" vertical="center" wrapText="1"/>
    </xf>
    <xf numFmtId="0" fontId="5" fillId="15" borderId="30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5" fillId="15" borderId="20" xfId="0" applyFont="1" applyFill="1" applyBorder="1" applyAlignment="1"/>
    <xf numFmtId="0" fontId="5" fillId="0" borderId="23" xfId="0" applyFont="1" applyBorder="1" applyAlignment="1"/>
    <xf numFmtId="0" fontId="5" fillId="0" borderId="28" xfId="0" applyFont="1" applyBorder="1" applyAlignment="1"/>
    <xf numFmtId="0" fontId="5" fillId="15" borderId="21" xfId="0" applyFont="1" applyFill="1" applyBorder="1" applyAlignment="1"/>
    <xf numFmtId="0" fontId="5" fillId="0" borderId="24" xfId="0" applyFont="1" applyBorder="1" applyAlignment="1"/>
    <xf numFmtId="0" fontId="5" fillId="0" borderId="29" xfId="0" applyFont="1" applyBorder="1" applyAlignment="1"/>
    <xf numFmtId="0" fontId="5" fillId="15" borderId="22" xfId="0" applyFont="1" applyFill="1" applyBorder="1" applyAlignment="1"/>
    <xf numFmtId="0" fontId="5" fillId="0" borderId="25" xfId="0" applyFont="1" applyBorder="1" applyAlignment="1"/>
    <xf numFmtId="0" fontId="5" fillId="15" borderId="30" xfId="0" applyFont="1" applyFill="1" applyBorder="1" applyAlignment="1"/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C3895D"/>
      <color rgb="FFFA90B1"/>
      <color rgb="FFFDD3FA"/>
      <color rgb="FFFDD3DD"/>
      <color rgb="FFFCFCAA"/>
      <color rgb="FFCC99FF"/>
      <color rgb="FFC1EE5C"/>
      <color rgb="FFFF0066"/>
      <color rgb="FFCCCC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bjetos%20de%20Dominio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jetos de Dominio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uz Mery Rios Alzate" id="{40FA3333-68CE-4CDC-8CEF-ABCFB81E264F}" userId="lrios@UCO.EDU.CO" providerId="PeoplePicker"/>
  <person displayName="Luz Mery Rios Alzate" id="{75A05547-A70A-461A-9A16-587D4920A7B2}" userId="S::lrios@uco.edu.co::2c6e6b4f-8f58-4e67-a209-b646ce663b36" providerId="AD"/>
  <person displayName="Julian Mateo Herrera Henao" id="{874A5845-5222-411A-B900-9202366F812E}" userId="S::julian.herrera7896@uco.net.co::e08e4e54-e283-41bf-8763-4d56641b7f5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5-08-06T19:56:24.10" personId="{75A05547-A70A-461A-9A16-587D4920A7B2}" id="{121D74AA-735E-4F68-AA20-442F28223BB7}">
    <text>Abonar pago</text>
  </threadedComment>
  <threadedComment ref="B7" dT="2025-08-07T01:14:24.00" personId="{874A5845-5222-411A-B900-9202366F812E}" id="{15B80DB4-B93E-4995-AAB4-CCF7BA9251C6}" parentId="{121D74AA-735E-4F68-AA20-442F28223BB7}">
    <text>@Luz Mery Rios Alzate  modificado</text>
    <mentions>
      <mention mentionpersonId="{40FA3333-68CE-4CDC-8CEF-ABCFB81E264F}" mentionId="{82267B1E-8D43-47ED-89DB-8AF68A7F029A}" startIndex="0" length="21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F4C49-240B-4036-BD62-669D42F23E67}">
  <dimension ref="A1"/>
  <sheetViews>
    <sheetView zoomScale="85" zoomScaleNormal="85" workbookViewId="0">
      <selection activeCell="E42" sqref="E41:E42"/>
    </sheetView>
  </sheetViews>
  <sheetFormatPr defaultColWidth="11.42578125" defaultRowHeight="15"/>
  <cols>
    <col min="1" max="16384" width="11.42578125" style="2"/>
  </cols>
  <sheetData>
    <row r="1" spans="1:1">
      <c r="A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8B9D-0652-49D5-BF62-A59B793D6DFC}">
  <dimension ref="A1:C26"/>
  <sheetViews>
    <sheetView zoomScaleNormal="100" workbookViewId="0">
      <pane ySplit="1" topLeftCell="A2" activePane="bottomLeft" state="frozen"/>
      <selection pane="bottomLeft" activeCell="A26" sqref="A26"/>
    </sheetView>
  </sheetViews>
  <sheetFormatPr defaultColWidth="11.42578125" defaultRowHeight="15"/>
  <cols>
    <col min="1" max="1" width="27.42578125" style="1" customWidth="1"/>
    <col min="2" max="2" width="73.5703125" style="1" customWidth="1"/>
    <col min="3" max="3" width="17.7109375" style="1" hidden="1" customWidth="1"/>
    <col min="4" max="16384" width="11.42578125" style="1"/>
  </cols>
  <sheetData>
    <row r="1" spans="1:3">
      <c r="A1" s="62" t="s">
        <v>0</v>
      </c>
      <c r="B1" s="62" t="s">
        <v>1</v>
      </c>
      <c r="C1" s="62" t="s">
        <v>2</v>
      </c>
    </row>
    <row r="2" spans="1:3" ht="30">
      <c r="A2" s="63" t="s">
        <v>3</v>
      </c>
      <c r="B2" s="64" t="s">
        <v>4</v>
      </c>
      <c r="C2" s="65" t="s">
        <v>5</v>
      </c>
    </row>
    <row r="3" spans="1:3" ht="60">
      <c r="A3" s="63" t="s">
        <v>6</v>
      </c>
      <c r="B3" s="64" t="s">
        <v>7</v>
      </c>
      <c r="C3" s="66" t="s">
        <v>8</v>
      </c>
    </row>
    <row r="4" spans="1:3" ht="45">
      <c r="A4" s="63" t="s">
        <v>9</v>
      </c>
      <c r="B4" s="64" t="s">
        <v>10</v>
      </c>
      <c r="C4" s="65" t="s">
        <v>5</v>
      </c>
    </row>
    <row r="5" spans="1:3" ht="45">
      <c r="A5" s="63" t="s">
        <v>11</v>
      </c>
      <c r="B5" s="64" t="s">
        <v>12</v>
      </c>
      <c r="C5" s="66" t="s">
        <v>8</v>
      </c>
    </row>
    <row r="6" spans="1:3" ht="45">
      <c r="A6" s="63" t="s">
        <v>13</v>
      </c>
      <c r="B6" s="64" t="s">
        <v>14</v>
      </c>
      <c r="C6" s="65" t="s">
        <v>5</v>
      </c>
    </row>
    <row r="7" spans="1:3" ht="45">
      <c r="A7" s="63" t="s">
        <v>15</v>
      </c>
      <c r="B7" s="64" t="s">
        <v>16</v>
      </c>
      <c r="C7" s="66" t="s">
        <v>8</v>
      </c>
    </row>
    <row r="8" spans="1:3" ht="45">
      <c r="A8" s="63" t="s">
        <v>17</v>
      </c>
      <c r="B8" s="64" t="s">
        <v>18</v>
      </c>
      <c r="C8" s="66" t="s">
        <v>5</v>
      </c>
    </row>
    <row r="9" spans="1:3" ht="30">
      <c r="A9" s="63" t="s">
        <v>19</v>
      </c>
      <c r="B9" s="64" t="s">
        <v>20</v>
      </c>
      <c r="C9" s="66" t="s">
        <v>8</v>
      </c>
    </row>
    <row r="10" spans="1:3">
      <c r="A10" s="63" t="s">
        <v>21</v>
      </c>
      <c r="B10" s="64" t="s">
        <v>22</v>
      </c>
      <c r="C10" s="65" t="s">
        <v>5</v>
      </c>
    </row>
    <row r="11" spans="1:3" ht="30">
      <c r="A11" s="63" t="s">
        <v>23</v>
      </c>
      <c r="B11" s="64" t="s">
        <v>24</v>
      </c>
      <c r="C11" s="66" t="s">
        <v>8</v>
      </c>
    </row>
    <row r="12" spans="1:3">
      <c r="A12" s="63" t="s">
        <v>25</v>
      </c>
      <c r="B12" s="64" t="s">
        <v>26</v>
      </c>
      <c r="C12" s="65" t="s">
        <v>5</v>
      </c>
    </row>
    <row r="13" spans="1:3" ht="30">
      <c r="A13" s="63" t="s">
        <v>27</v>
      </c>
      <c r="B13" s="64" t="s">
        <v>28</v>
      </c>
      <c r="C13" s="66" t="s">
        <v>8</v>
      </c>
    </row>
    <row r="14" spans="1:3" ht="30">
      <c r="A14" s="63" t="s">
        <v>29</v>
      </c>
      <c r="B14" s="64" t="s">
        <v>30</v>
      </c>
      <c r="C14" s="65" t="s">
        <v>5</v>
      </c>
    </row>
    <row r="15" spans="1:3" ht="30">
      <c r="A15" s="67" t="s">
        <v>31</v>
      </c>
      <c r="B15" s="64" t="s">
        <v>32</v>
      </c>
      <c r="C15" s="66" t="s">
        <v>8</v>
      </c>
    </row>
    <row r="16" spans="1:3" ht="30">
      <c r="A16" s="67" t="s">
        <v>33</v>
      </c>
      <c r="B16" s="64" t="s">
        <v>34</v>
      </c>
      <c r="C16" s="65" t="s">
        <v>5</v>
      </c>
    </row>
    <row r="17" spans="1:3" ht="30">
      <c r="A17" s="67" t="s">
        <v>35</v>
      </c>
      <c r="B17" s="64" t="s">
        <v>36</v>
      </c>
      <c r="C17" s="68" t="s">
        <v>8</v>
      </c>
    </row>
    <row r="18" spans="1:3" ht="30">
      <c r="A18" s="67" t="s">
        <v>37</v>
      </c>
      <c r="B18" s="64" t="s">
        <v>38</v>
      </c>
      <c r="C18" s="65" t="s">
        <v>5</v>
      </c>
    </row>
    <row r="19" spans="1:3">
      <c r="A19" s="67" t="s">
        <v>39</v>
      </c>
      <c r="B19" s="64" t="s">
        <v>40</v>
      </c>
      <c r="C19" s="68" t="s">
        <v>8</v>
      </c>
    </row>
    <row r="20" spans="1:3">
      <c r="A20" s="63" t="s">
        <v>41</v>
      </c>
      <c r="B20" s="64" t="s">
        <v>42</v>
      </c>
      <c r="C20" s="65" t="s">
        <v>5</v>
      </c>
    </row>
    <row r="21" spans="1:3" ht="30">
      <c r="A21" s="63" t="s">
        <v>43</v>
      </c>
      <c r="B21" s="64" t="s">
        <v>44</v>
      </c>
      <c r="C21" s="68" t="s">
        <v>8</v>
      </c>
    </row>
    <row r="22" spans="1:3">
      <c r="A22" s="67" t="s">
        <v>45</v>
      </c>
      <c r="B22" s="64" t="s">
        <v>46</v>
      </c>
      <c r="C22" s="68" t="s">
        <v>5</v>
      </c>
    </row>
    <row r="23" spans="1:3">
      <c r="A23" s="63" t="s">
        <v>47</v>
      </c>
      <c r="B23" s="64" t="s">
        <v>48</v>
      </c>
      <c r="C23" s="68" t="s">
        <v>8</v>
      </c>
    </row>
    <row r="24" spans="1:3">
      <c r="A24" s="63" t="s">
        <v>49</v>
      </c>
      <c r="B24" s="64" t="s">
        <v>50</v>
      </c>
      <c r="C24" s="65" t="s">
        <v>5</v>
      </c>
    </row>
    <row r="25" spans="1:3">
      <c r="A25" s="63" t="s">
        <v>51</v>
      </c>
      <c r="B25" s="64" t="s">
        <v>52</v>
      </c>
      <c r="C25" s="68" t="s">
        <v>8</v>
      </c>
    </row>
    <row r="26" spans="1:3" ht="43.5" customHeight="1">
      <c r="A26" s="70" t="s">
        <v>53</v>
      </c>
      <c r="B26" s="64" t="s">
        <v>54</v>
      </c>
      <c r="C26" s="71" t="s">
        <v>54</v>
      </c>
    </row>
  </sheetData>
  <autoFilter ref="C1:C25" xr:uid="{02388B9D-0652-49D5-BF62-A59B793D6DFC}"/>
  <hyperlinks>
    <hyperlink ref="A2" location="Proveedor!A1" display="Proveedor" xr:uid="{C2EE9406-EC49-4EF9-9F7A-880F98F856AB}"/>
    <hyperlink ref="A3" location="Administrador!A1" display="Administrador" xr:uid="{0B968C5B-213B-497B-9CDC-56B3F69C0094}"/>
    <hyperlink ref="A4" location="Abastecimiento!A1" display="Abastecimiento" xr:uid="{C77FB851-C064-4B4D-A1FF-E0685FD1F60D}"/>
    <hyperlink ref="A5" location="Reporte!A1" display="Reporte" xr:uid="{6F8FAB34-0CA4-4013-99C7-B3EF975AD274}"/>
    <hyperlink ref="A6" location="Trabajador!A1" display="Trabajador" xr:uid="{BB128A06-AD8F-4F6A-9D09-2D41F89A3D44}"/>
    <hyperlink ref="A7" location="Cliente!A1" display="Cliente" xr:uid="{D57E952F-0B4F-41AD-AAB6-08951D4264EE}"/>
    <hyperlink ref="A8" location="'Información de interes'!A1" display="Información de interes" xr:uid="{A224EE11-B10C-47D5-93A1-BF2A1DBCF5C4}"/>
    <hyperlink ref="A9" location="Produccion!A1" display="Producción" xr:uid="{D4206A8E-BFE4-4F86-B8D2-664F60A761A2}"/>
    <hyperlink ref="A10" location="Producto!A1" display="Producto" xr:uid="{7024B2CC-5F55-4A2A-BFEE-49EE7893E6FA}"/>
    <hyperlink ref="A11" location="Venta!A1" display="Venta" xr:uid="{382B337E-3A26-44B7-B07E-13EF17741697}"/>
    <hyperlink ref="A12" location="'Estado Producto'!A1" display="Estado Producto" xr:uid="{4449C0F3-F0CB-4B43-8E65-B3E5DE9F810F}"/>
    <hyperlink ref="A13" location="Envio!A1" display="Envio" xr:uid="{57C2E539-F637-4ED3-AD5E-A4A79CA0E754}"/>
    <hyperlink ref="A14" location="'Tipo Identificacion'!A1" display="Tipo Identificación" xr:uid="{A2E4464C-2456-40D5-940E-5464C6F8801B}"/>
    <hyperlink ref="A15" location="'Estado Usuario'!A1" display="Estado Usuario" xr:uid="{E10615C9-81F7-42E7-90AB-3FEF9CF30A12}"/>
    <hyperlink ref="A16" location="Categoria!A1" display="Categoría " xr:uid="{240C34BC-E868-45AD-AD96-76230CDB9CB9}"/>
    <hyperlink ref="A17" location="Pais!A1" display="país" xr:uid="{813C8665-B03D-43F7-93B0-06CFBD734320}"/>
    <hyperlink ref="A18" location="Departamento!A1" display="Departamento" xr:uid="{F5659000-6D19-4644-8D2E-7E750283B377}"/>
    <hyperlink ref="A19" location="Ciudad!A1" display="Ciudad" xr:uid="{8E9B0A4A-3C3A-492C-B00F-DCAA33C000D1}"/>
    <hyperlink ref="A20" location="'Insumo'!A1" display="Insumo" xr:uid="{29B73AA2-2BDA-4DF9-8B17-02D8BD14D605}"/>
    <hyperlink ref="A21" location="'Unidad de Medida'!A1" display="Unidad de medida" xr:uid="{F21EC084-C534-4B53-A539-40127D4EE3EE}"/>
    <hyperlink ref="A22" location="'Estado Envio'!A1" display="Estado Envio" xr:uid="{14076D3D-B8EB-4D78-8F78-10D9561A4AA3}"/>
    <hyperlink ref="A23" location="Pago!A1" display="Pago" xr:uid="{301E9ACE-3661-4C53-8FDB-49329ABB9CD9}"/>
    <hyperlink ref="A24" location="'Forma de pago'!A1" display="Forma de pago" xr:uid="{AC7734B0-7AA8-43A6-BD04-0C398D19BE48}"/>
    <hyperlink ref="A25" location="'Estado de venta'!A1" display="Estado Venta" xr:uid="{341F6FE9-AAC1-4492-8D92-CC25848C162B}"/>
    <hyperlink ref="A26" location="Devolucion!A1" display="Devolución" xr:uid="{8E7B1AE5-4638-4A8F-8401-A90C2262E6CF}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BA608-57CC-45B0-8234-10CA49C3B004}">
  <dimension ref="A1:M18"/>
  <sheetViews>
    <sheetView topLeftCell="A9" zoomScale="112" zoomScaleNormal="112" workbookViewId="0">
      <selection activeCell="B16" sqref="B16"/>
    </sheetView>
  </sheetViews>
  <sheetFormatPr defaultColWidth="11.42578125" defaultRowHeight="15"/>
  <cols>
    <col min="1" max="1" width="23.85546875" style="1" bestFit="1" customWidth="1"/>
    <col min="2" max="2" width="21.42578125" style="1" customWidth="1"/>
    <col min="3" max="3" width="18.85546875" style="1" bestFit="1" customWidth="1"/>
    <col min="4" max="5" width="18.85546875" style="1" customWidth="1"/>
    <col min="6" max="6" width="19.85546875" style="1" customWidth="1"/>
    <col min="7" max="7" width="29.85546875" style="1" customWidth="1"/>
    <col min="8" max="8" width="15.28515625" style="1" customWidth="1"/>
    <col min="9" max="9" width="28.5703125" style="1" bestFit="1" customWidth="1"/>
    <col min="10" max="10" width="20.140625" style="1" bestFit="1" customWidth="1"/>
    <col min="11" max="11" width="38" style="1" customWidth="1"/>
    <col min="12" max="12" width="46.28515625" style="1" customWidth="1"/>
    <col min="13" max="13" width="19.28515625" style="1" bestFit="1" customWidth="1"/>
    <col min="14" max="14" width="132.5703125" style="1" bestFit="1" customWidth="1"/>
    <col min="15" max="15" width="46.42578125" style="1" bestFit="1" customWidth="1"/>
    <col min="16" max="16" width="50.140625" style="1" bestFit="1" customWidth="1"/>
    <col min="17" max="17" width="66.85546875" style="1" bestFit="1" customWidth="1"/>
    <col min="18" max="18" width="52.28515625" style="1" bestFit="1" customWidth="1"/>
    <col min="19" max="16384" width="11.42578125" style="1"/>
  </cols>
  <sheetData>
    <row r="1" spans="1:13" ht="15.75" thickBot="1">
      <c r="A1" s="72" t="s">
        <v>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1:13">
      <c r="A2" s="5" t="s">
        <v>56</v>
      </c>
      <c r="B2" s="82" t="str">
        <f>'Listado Objetos de Dominio'!$A$2</f>
        <v>Proveedor</v>
      </c>
      <c r="C2" s="82"/>
      <c r="D2" s="82"/>
      <c r="E2" s="82"/>
      <c r="F2" s="82"/>
      <c r="G2" s="82"/>
      <c r="H2" s="82"/>
      <c r="I2" s="82"/>
      <c r="J2" s="82"/>
      <c r="K2" s="82"/>
      <c r="L2" s="83"/>
      <c r="M2" s="3"/>
    </row>
    <row r="3" spans="1:13" ht="15.75" customHeight="1">
      <c r="A3" s="6" t="s">
        <v>57</v>
      </c>
      <c r="B3" s="84" t="str">
        <f>'Listado Objetos de Dominio'!$B$2</f>
        <v>Entidad que representa a las empresas o personas que suministran el abastecimiento del negocio.</v>
      </c>
      <c r="C3" s="84"/>
      <c r="D3" s="84"/>
      <c r="E3" s="84"/>
      <c r="F3" s="84"/>
      <c r="G3" s="84"/>
      <c r="H3" s="84"/>
      <c r="I3" s="84"/>
      <c r="J3" s="84"/>
      <c r="K3" s="84"/>
      <c r="L3" s="85"/>
      <c r="M3" s="4"/>
    </row>
    <row r="4" spans="1:13" ht="15.75" customHeight="1">
      <c r="A4" s="8" t="s">
        <v>58</v>
      </c>
      <c r="B4" s="74" t="s">
        <v>59</v>
      </c>
      <c r="C4" s="74"/>
      <c r="D4" s="86" t="s">
        <v>60</v>
      </c>
      <c r="E4" s="86"/>
      <c r="F4" s="77" t="s">
        <v>61</v>
      </c>
      <c r="G4" s="77"/>
      <c r="H4" s="10" t="s">
        <v>62</v>
      </c>
      <c r="I4" s="11" t="s">
        <v>63</v>
      </c>
      <c r="J4" s="19" t="s">
        <v>64</v>
      </c>
      <c r="K4" s="80" t="s">
        <v>65</v>
      </c>
      <c r="L4" s="81" t="s">
        <v>66</v>
      </c>
      <c r="M4" s="4"/>
    </row>
    <row r="5" spans="1:13">
      <c r="A5" s="73" t="s">
        <v>58</v>
      </c>
      <c r="B5" s="74" t="s">
        <v>67</v>
      </c>
      <c r="C5" s="74" t="s">
        <v>1</v>
      </c>
      <c r="D5" s="86" t="s">
        <v>68</v>
      </c>
      <c r="E5" s="86"/>
      <c r="F5" s="75" t="s">
        <v>69</v>
      </c>
      <c r="G5" s="75"/>
      <c r="H5" s="78" t="s">
        <v>70</v>
      </c>
      <c r="I5" s="79" t="s">
        <v>71</v>
      </c>
      <c r="J5" s="76" t="s">
        <v>72</v>
      </c>
      <c r="K5" s="80"/>
      <c r="L5" s="81"/>
    </row>
    <row r="6" spans="1:13">
      <c r="A6" s="73"/>
      <c r="B6" s="74"/>
      <c r="C6" s="74"/>
      <c r="D6" s="18" t="s">
        <v>73</v>
      </c>
      <c r="E6" s="18" t="s">
        <v>1</v>
      </c>
      <c r="F6" s="7" t="s">
        <v>74</v>
      </c>
      <c r="G6" s="7" t="s">
        <v>1</v>
      </c>
      <c r="H6" s="78"/>
      <c r="I6" s="79"/>
      <c r="J6" s="76"/>
      <c r="K6" s="80"/>
      <c r="L6" s="81"/>
    </row>
    <row r="7" spans="1:13" ht="45.75">
      <c r="A7" s="20" t="s">
        <v>6</v>
      </c>
      <c r="B7" s="20" t="s">
        <v>75</v>
      </c>
      <c r="C7" s="20" t="s">
        <v>76</v>
      </c>
      <c r="D7" s="20"/>
      <c r="E7" s="20"/>
      <c r="F7" s="20" t="s">
        <v>77</v>
      </c>
      <c r="G7" s="20" t="s">
        <v>78</v>
      </c>
      <c r="H7" s="20"/>
      <c r="I7" s="20" t="s">
        <v>79</v>
      </c>
      <c r="J7" s="20" t="s">
        <v>80</v>
      </c>
      <c r="K7" s="20" t="s">
        <v>81</v>
      </c>
      <c r="L7" s="20" t="s">
        <v>82</v>
      </c>
    </row>
    <row r="8" spans="1:13" ht="60">
      <c r="A8" s="20" t="s">
        <v>6</v>
      </c>
      <c r="B8" s="20" t="s">
        <v>82</v>
      </c>
      <c r="C8" s="20" t="s">
        <v>83</v>
      </c>
      <c r="D8" s="20"/>
      <c r="E8" s="20"/>
      <c r="F8" s="20" t="s">
        <v>84</v>
      </c>
      <c r="G8" s="20" t="s">
        <v>85</v>
      </c>
      <c r="H8" s="20"/>
      <c r="I8" s="20" t="s">
        <v>86</v>
      </c>
      <c r="J8" s="20"/>
      <c r="K8" s="20" t="s">
        <v>79</v>
      </c>
      <c r="L8" s="20" t="s">
        <v>87</v>
      </c>
    </row>
    <row r="9" spans="1:13" ht="149.25" customHeight="1">
      <c r="A9" s="20" t="s">
        <v>88</v>
      </c>
      <c r="B9" s="20" t="s">
        <v>87</v>
      </c>
      <c r="C9" s="20" t="s">
        <v>89</v>
      </c>
      <c r="D9" s="20"/>
      <c r="E9" s="20"/>
      <c r="F9" s="20" t="s">
        <v>90</v>
      </c>
      <c r="G9" s="20" t="s">
        <v>91</v>
      </c>
      <c r="H9" s="20"/>
      <c r="I9" s="20" t="s">
        <v>92</v>
      </c>
      <c r="J9" s="20" t="s">
        <v>93</v>
      </c>
      <c r="K9" s="20" t="s">
        <v>79</v>
      </c>
      <c r="L9" s="20" t="s">
        <v>94</v>
      </c>
    </row>
    <row r="10" spans="1:13" ht="76.5">
      <c r="A10" s="20" t="s">
        <v>88</v>
      </c>
      <c r="B10" s="20" t="s">
        <v>95</v>
      </c>
      <c r="C10" s="20" t="s">
        <v>96</v>
      </c>
      <c r="D10" s="20"/>
      <c r="E10" s="20"/>
      <c r="F10" s="20" t="s">
        <v>97</v>
      </c>
      <c r="G10" s="20" t="s">
        <v>98</v>
      </c>
      <c r="H10" s="20"/>
      <c r="I10" s="20" t="s">
        <v>99</v>
      </c>
      <c r="J10" s="20" t="s">
        <v>100</v>
      </c>
      <c r="K10" s="20" t="s">
        <v>79</v>
      </c>
      <c r="L10" s="20" t="s">
        <v>87</v>
      </c>
    </row>
    <row r="11" spans="1:13" ht="60">
      <c r="A11" s="22" t="s">
        <v>6</v>
      </c>
      <c r="B11" s="23" t="s">
        <v>101</v>
      </c>
      <c r="C11" s="24" t="s">
        <v>102</v>
      </c>
      <c r="D11" t="s">
        <v>103</v>
      </c>
      <c r="E11" t="s">
        <v>104</v>
      </c>
      <c r="F11" t="s">
        <v>105</v>
      </c>
      <c r="G11" s="24" t="s">
        <v>106</v>
      </c>
      <c r="H11"/>
      <c r="I11" t="s">
        <v>107</v>
      </c>
      <c r="J11" s="24"/>
      <c r="K11" t="s">
        <v>108</v>
      </c>
      <c r="L11" t="s">
        <v>109</v>
      </c>
    </row>
    <row r="17" spans="1:12">
      <c r="A17"/>
      <c r="B17"/>
      <c r="C17"/>
      <c r="D17"/>
      <c r="E17"/>
      <c r="F17"/>
      <c r="G17"/>
      <c r="H17"/>
      <c r="I17"/>
      <c r="J17"/>
      <c r="K17"/>
      <c r="L17"/>
    </row>
    <row r="18" spans="1:12">
      <c r="A18"/>
      <c r="B18"/>
      <c r="C18"/>
      <c r="D18"/>
      <c r="E18"/>
      <c r="F18"/>
      <c r="G18"/>
      <c r="H18"/>
      <c r="I18"/>
      <c r="J18"/>
      <c r="K18"/>
      <c r="L18"/>
    </row>
  </sheetData>
  <mergeCells count="16">
    <mergeCell ref="A1:M1"/>
    <mergeCell ref="A5:A6"/>
    <mergeCell ref="B5:B6"/>
    <mergeCell ref="C5:C6"/>
    <mergeCell ref="F5:G5"/>
    <mergeCell ref="J5:J6"/>
    <mergeCell ref="F4:G4"/>
    <mergeCell ref="H5:H6"/>
    <mergeCell ref="I5:I6"/>
    <mergeCell ref="K4:K6"/>
    <mergeCell ref="L4:L6"/>
    <mergeCell ref="B2:L2"/>
    <mergeCell ref="B3:L3"/>
    <mergeCell ref="B4:C4"/>
    <mergeCell ref="D4:E4"/>
    <mergeCell ref="D5:E5"/>
  </mergeCells>
  <hyperlinks>
    <hyperlink ref="A1" location="'Objetos de Dominio'!A1" display="Volver al inicio" xr:uid="{F92E8141-0BAA-4CFF-A2AA-790349ADA214}"/>
    <hyperlink ref="A1:M1" location="'Listado Objetos de Dominio'!A1" display="&lt;-Volver al inicio" xr:uid="{BAD90D86-7311-49B0-A802-02D69BE204D5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2BFC6-5B3A-4E40-BEA3-58E7EDB79B0C}">
  <dimension ref="A1:M11"/>
  <sheetViews>
    <sheetView workbookViewId="0">
      <pane ySplit="2" topLeftCell="A3" activePane="bottomLeft" state="frozen"/>
      <selection pane="bottomLeft" activeCell="B13" sqref="B13"/>
    </sheetView>
  </sheetViews>
  <sheetFormatPr defaultColWidth="11.42578125" defaultRowHeight="15"/>
  <cols>
    <col min="1" max="1" width="23.85546875" style="1" bestFit="1" customWidth="1"/>
    <col min="2" max="2" width="36.7109375" style="1" customWidth="1"/>
    <col min="3" max="3" width="61.140625" style="1" customWidth="1"/>
    <col min="4" max="4" width="31.7109375" style="1" customWidth="1"/>
    <col min="5" max="5" width="43.7109375" style="1" customWidth="1"/>
    <col min="6" max="6" width="38.42578125" style="1" customWidth="1"/>
    <col min="7" max="7" width="69.5703125" style="1" customWidth="1"/>
    <col min="8" max="8" width="37.5703125" style="1" customWidth="1"/>
    <col min="9" max="9" width="28.5703125" style="1" bestFit="1" customWidth="1"/>
    <col min="10" max="10" width="82.28515625" style="1" customWidth="1"/>
    <col min="11" max="11" width="51.28515625" style="1" customWidth="1"/>
    <col min="12" max="12" width="62.85546875" style="1" customWidth="1"/>
    <col min="13" max="13" width="19.28515625" style="1" bestFit="1" customWidth="1"/>
    <col min="14" max="14" width="132.5703125" style="1" bestFit="1" customWidth="1"/>
    <col min="15" max="15" width="46.42578125" style="1" bestFit="1" customWidth="1"/>
    <col min="16" max="16" width="50.140625" style="1" bestFit="1" customWidth="1"/>
    <col min="17" max="17" width="66.85546875" style="1" bestFit="1" customWidth="1"/>
    <col min="18" max="18" width="52.28515625" style="1" bestFit="1" customWidth="1"/>
    <col min="19" max="16384" width="11.42578125" style="1"/>
  </cols>
  <sheetData>
    <row r="1" spans="1:13" ht="15.75" thickBot="1">
      <c r="A1" s="72" t="s">
        <v>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1:13" ht="25.5" customHeight="1">
      <c r="A2" s="5" t="s">
        <v>56</v>
      </c>
      <c r="B2" s="82" t="str">
        <f>'Listado Objetos de Dominio'!$A$3</f>
        <v>Administrador</v>
      </c>
      <c r="C2" s="82"/>
      <c r="D2" s="82"/>
      <c r="E2" s="82"/>
      <c r="F2" s="82"/>
      <c r="G2" s="82"/>
      <c r="H2" s="82"/>
      <c r="I2" s="82"/>
      <c r="J2" s="82"/>
      <c r="K2" s="82"/>
      <c r="L2" s="83"/>
      <c r="M2" s="3"/>
    </row>
    <row r="3" spans="1:13" ht="29.25" customHeight="1">
      <c r="A3" s="6" t="s">
        <v>57</v>
      </c>
      <c r="B3" s="84" t="str">
        <f>'Listado Objetos de Dominio'!$B$3</f>
        <v xml:space="preserve">Entidad que representa Usuario con privilegios totales sobre la plataforma. Se encarga de configurar parámetros globales, gestionar roles y permisos de Trabajadores y supervisar la generación de Reportes.
</v>
      </c>
      <c r="C3" s="84"/>
      <c r="D3" s="84"/>
      <c r="E3" s="84"/>
      <c r="F3" s="84"/>
      <c r="G3" s="84"/>
      <c r="H3" s="84"/>
      <c r="I3" s="84"/>
      <c r="J3" s="84"/>
      <c r="K3" s="84"/>
      <c r="L3" s="85"/>
      <c r="M3" s="4"/>
    </row>
    <row r="4" spans="1:13" ht="15.75" customHeight="1">
      <c r="A4" s="8" t="s">
        <v>58</v>
      </c>
      <c r="B4" s="74" t="s">
        <v>59</v>
      </c>
      <c r="C4" s="74"/>
      <c r="D4" s="86" t="s">
        <v>60</v>
      </c>
      <c r="E4" s="86"/>
      <c r="F4" s="77" t="s">
        <v>61</v>
      </c>
      <c r="G4" s="77"/>
      <c r="H4" s="10" t="s">
        <v>62</v>
      </c>
      <c r="I4" s="11" t="s">
        <v>63</v>
      </c>
      <c r="J4" s="19" t="s">
        <v>64</v>
      </c>
      <c r="K4" s="80" t="s">
        <v>65</v>
      </c>
      <c r="L4" s="81" t="s">
        <v>66</v>
      </c>
      <c r="M4" s="4"/>
    </row>
    <row r="5" spans="1:13">
      <c r="A5" s="73" t="s">
        <v>58</v>
      </c>
      <c r="B5" s="74" t="s">
        <v>67</v>
      </c>
      <c r="C5" s="74" t="s">
        <v>1</v>
      </c>
      <c r="D5" s="86" t="s">
        <v>68</v>
      </c>
      <c r="E5" s="86"/>
      <c r="F5" s="75" t="s">
        <v>69</v>
      </c>
      <c r="G5" s="75"/>
      <c r="H5" s="78" t="s">
        <v>70</v>
      </c>
      <c r="I5" s="79" t="s">
        <v>71</v>
      </c>
      <c r="J5" s="76" t="s">
        <v>72</v>
      </c>
      <c r="K5" s="80"/>
      <c r="L5" s="81"/>
    </row>
    <row r="6" spans="1:13">
      <c r="A6" s="73"/>
      <c r="B6" s="74"/>
      <c r="C6" s="74"/>
      <c r="D6" s="18" t="s">
        <v>73</v>
      </c>
      <c r="E6" s="18" t="s">
        <v>1</v>
      </c>
      <c r="F6" s="7" t="s">
        <v>74</v>
      </c>
      <c r="G6" s="7" t="s">
        <v>1</v>
      </c>
      <c r="H6" s="78"/>
      <c r="I6" s="79"/>
      <c r="J6" s="76"/>
      <c r="K6" s="80"/>
      <c r="L6" s="81"/>
    </row>
    <row r="7" spans="1:13" ht="30">
      <c r="A7" s="53" t="s">
        <v>6</v>
      </c>
      <c r="B7" s="53" t="s">
        <v>110</v>
      </c>
      <c r="C7" s="53" t="s">
        <v>111</v>
      </c>
      <c r="D7" s="53"/>
      <c r="E7" s="53"/>
      <c r="F7" s="53" t="s">
        <v>112</v>
      </c>
      <c r="G7" s="53" t="s">
        <v>113</v>
      </c>
      <c r="H7" s="53"/>
      <c r="I7" s="53" t="s">
        <v>114</v>
      </c>
      <c r="J7" s="53" t="s">
        <v>115</v>
      </c>
      <c r="K7" s="53"/>
      <c r="L7" s="53" t="s">
        <v>116</v>
      </c>
    </row>
    <row r="8" spans="1:13">
      <c r="A8" s="47" t="s">
        <v>6</v>
      </c>
      <c r="B8" s="48" t="s">
        <v>116</v>
      </c>
      <c r="C8" s="48" t="s">
        <v>117</v>
      </c>
      <c r="D8" s="48"/>
      <c r="E8" s="48"/>
      <c r="F8" s="48" t="s">
        <v>118</v>
      </c>
      <c r="G8" s="48" t="s">
        <v>119</v>
      </c>
      <c r="H8" s="48"/>
      <c r="I8" s="48" t="s">
        <v>120</v>
      </c>
      <c r="J8" s="48" t="s">
        <v>121</v>
      </c>
      <c r="K8" s="48" t="s">
        <v>114</v>
      </c>
      <c r="L8" s="49" t="s">
        <v>122</v>
      </c>
    </row>
    <row r="9" spans="1:13" ht="30">
      <c r="A9" s="47" t="s">
        <v>6</v>
      </c>
      <c r="B9" s="48" t="s">
        <v>122</v>
      </c>
      <c r="C9" s="48" t="s">
        <v>123</v>
      </c>
      <c r="D9" s="48"/>
      <c r="E9" s="48"/>
      <c r="F9" s="48" t="s">
        <v>124</v>
      </c>
      <c r="G9" s="48" t="s">
        <v>125</v>
      </c>
      <c r="H9" s="48"/>
      <c r="I9" s="48" t="s">
        <v>126</v>
      </c>
      <c r="J9" s="48" t="s">
        <v>127</v>
      </c>
      <c r="K9" s="48" t="s">
        <v>114</v>
      </c>
      <c r="L9" s="49" t="s">
        <v>116</v>
      </c>
    </row>
    <row r="10" spans="1:13" ht="30.75" thickBot="1">
      <c r="A10" s="50" t="s">
        <v>6</v>
      </c>
      <c r="B10" s="51" t="s">
        <v>128</v>
      </c>
      <c r="C10" s="51" t="s">
        <v>129</v>
      </c>
      <c r="D10" s="51"/>
      <c r="E10" s="51"/>
      <c r="F10" s="51" t="s">
        <v>130</v>
      </c>
      <c r="G10" s="51" t="s">
        <v>131</v>
      </c>
      <c r="H10" s="51"/>
      <c r="I10" s="51" t="s">
        <v>132</v>
      </c>
      <c r="J10" s="51" t="s">
        <v>133</v>
      </c>
      <c r="K10" s="51" t="s">
        <v>114</v>
      </c>
      <c r="L10" s="52" t="s">
        <v>116</v>
      </c>
    </row>
    <row r="11" spans="1:13" ht="30">
      <c r="A11" s="53" t="s">
        <v>6</v>
      </c>
      <c r="B11" s="53" t="s">
        <v>134</v>
      </c>
      <c r="C11" s="53" t="s">
        <v>135</v>
      </c>
      <c r="D11" s="53"/>
      <c r="E11" s="53"/>
      <c r="F11" s="53" t="s">
        <v>136</v>
      </c>
      <c r="G11" s="53" t="s">
        <v>137</v>
      </c>
      <c r="H11" s="53"/>
      <c r="I11" s="53" t="s">
        <v>138</v>
      </c>
      <c r="J11" s="53" t="s">
        <v>139</v>
      </c>
      <c r="K11" s="53" t="s">
        <v>120</v>
      </c>
      <c r="L11" s="53" t="s">
        <v>140</v>
      </c>
    </row>
  </sheetData>
  <mergeCells count="16">
    <mergeCell ref="A5:A6"/>
    <mergeCell ref="B5:B6"/>
    <mergeCell ref="C5:C6"/>
    <mergeCell ref="A1:M1"/>
    <mergeCell ref="B2:L2"/>
    <mergeCell ref="B3:L3"/>
    <mergeCell ref="B4:C4"/>
    <mergeCell ref="D4:E4"/>
    <mergeCell ref="F4:G4"/>
    <mergeCell ref="K4:K6"/>
    <mergeCell ref="L4:L6"/>
    <mergeCell ref="D5:E5"/>
    <mergeCell ref="F5:G5"/>
    <mergeCell ref="J5:J6"/>
    <mergeCell ref="H5:H6"/>
    <mergeCell ref="I5:I6"/>
  </mergeCells>
  <hyperlinks>
    <hyperlink ref="A1" location="'Objetos de Dominio'!A1" display="Volver al inicio" xr:uid="{79C12EC1-52AC-413E-AC64-706EBBEE7DDD}"/>
    <hyperlink ref="A1:M1" location="'Listado Objetos de Dominio'!A1" display="&lt;-Volver al inicio" xr:uid="{CEFBA896-B5C8-4F54-8445-F270CCC4F87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D88CD-1BA6-4157-9522-8201A0FEDE3C}">
  <dimension ref="A1:M16"/>
  <sheetViews>
    <sheetView zoomScale="106" zoomScaleNormal="106" workbookViewId="0">
      <selection activeCell="A7" sqref="A7"/>
    </sheetView>
  </sheetViews>
  <sheetFormatPr defaultColWidth="11.42578125" defaultRowHeight="15"/>
  <cols>
    <col min="1" max="1" width="23.85546875" style="1" bestFit="1" customWidth="1"/>
    <col min="2" max="2" width="27.42578125" style="1" customWidth="1"/>
    <col min="3" max="3" width="18.85546875" style="1" bestFit="1" customWidth="1"/>
    <col min="4" max="4" width="18.85546875" style="1" customWidth="1"/>
    <col min="5" max="5" width="36.42578125" style="1" customWidth="1"/>
    <col min="6" max="6" width="16.28515625" style="1" customWidth="1"/>
    <col min="7" max="7" width="80" style="1" customWidth="1"/>
    <col min="8" max="8" width="37.7109375" style="1" customWidth="1"/>
    <col min="9" max="9" width="28.5703125" style="1" bestFit="1" customWidth="1"/>
    <col min="10" max="10" width="62.28515625" style="1" customWidth="1"/>
    <col min="11" max="11" width="38" style="1" customWidth="1"/>
    <col min="12" max="12" width="46.28515625" style="1" customWidth="1"/>
    <col min="13" max="13" width="19.28515625" style="1" bestFit="1" customWidth="1"/>
    <col min="14" max="14" width="132.5703125" style="1" bestFit="1" customWidth="1"/>
    <col min="15" max="15" width="46.42578125" style="1" bestFit="1" customWidth="1"/>
    <col min="16" max="16" width="50.140625" style="1" bestFit="1" customWidth="1"/>
    <col min="17" max="17" width="66.85546875" style="1" bestFit="1" customWidth="1"/>
    <col min="18" max="18" width="52.28515625" style="1" bestFit="1" customWidth="1"/>
    <col min="19" max="16384" width="11.42578125" style="1"/>
  </cols>
  <sheetData>
    <row r="1" spans="1:13" ht="15.75" thickBot="1">
      <c r="A1" s="72" t="s">
        <v>55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1:13">
      <c r="A2" s="5" t="s">
        <v>56</v>
      </c>
      <c r="B2" s="82" t="str">
        <f>'Listado Objetos de Dominio'!$A$4</f>
        <v>Abastecimiento</v>
      </c>
      <c r="C2" s="82"/>
      <c r="D2" s="82"/>
      <c r="E2" s="82"/>
      <c r="F2" s="82"/>
      <c r="G2" s="82"/>
      <c r="H2" s="82"/>
      <c r="I2" s="82"/>
      <c r="J2" s="82"/>
      <c r="K2" s="82"/>
      <c r="L2" s="83"/>
      <c r="M2" s="3"/>
    </row>
    <row r="3" spans="1:13" ht="15.75" customHeight="1">
      <c r="A3" s="6" t="s">
        <v>57</v>
      </c>
      <c r="B3" s="84" t="str">
        <f>'Listado Objetos de Dominio'!$B$4</f>
        <v>Proceso y registro de la adquisición interna de insumos para producción. Documenta las órdenes de compra, fechas de entrega, cantidades solicitadas y precios que alimentaran el Inventario</v>
      </c>
      <c r="C3" s="84"/>
      <c r="D3" s="84"/>
      <c r="E3" s="84"/>
      <c r="F3" s="84"/>
      <c r="G3" s="84"/>
      <c r="H3" s="84"/>
      <c r="I3" s="84"/>
      <c r="J3" s="84"/>
      <c r="K3" s="84"/>
      <c r="L3" s="85"/>
      <c r="M3" s="4"/>
    </row>
    <row r="4" spans="1:13" ht="15.75" customHeight="1">
      <c r="A4" s="8" t="s">
        <v>58</v>
      </c>
      <c r="B4" s="74" t="s">
        <v>59</v>
      </c>
      <c r="C4" s="74"/>
      <c r="D4" s="86" t="s">
        <v>60</v>
      </c>
      <c r="E4" s="86"/>
      <c r="F4" s="77" t="s">
        <v>61</v>
      </c>
      <c r="G4" s="77"/>
      <c r="H4" s="10" t="s">
        <v>62</v>
      </c>
      <c r="I4" s="11" t="s">
        <v>63</v>
      </c>
      <c r="J4" s="19" t="s">
        <v>64</v>
      </c>
      <c r="K4" s="87" t="s">
        <v>65</v>
      </c>
      <c r="L4" s="88" t="s">
        <v>66</v>
      </c>
      <c r="M4" s="4"/>
    </row>
    <row r="5" spans="1:13">
      <c r="A5" s="73" t="s">
        <v>58</v>
      </c>
      <c r="B5" s="74" t="s">
        <v>67</v>
      </c>
      <c r="C5" s="74" t="s">
        <v>1</v>
      </c>
      <c r="D5" s="86" t="s">
        <v>68</v>
      </c>
      <c r="E5" s="86"/>
      <c r="F5" s="75" t="s">
        <v>69</v>
      </c>
      <c r="G5" s="75"/>
      <c r="H5" s="78" t="s">
        <v>70</v>
      </c>
      <c r="I5" s="79" t="s">
        <v>71</v>
      </c>
      <c r="J5" s="76" t="s">
        <v>72</v>
      </c>
      <c r="K5" s="87"/>
      <c r="L5" s="88"/>
    </row>
    <row r="6" spans="1:13">
      <c r="A6" s="73"/>
      <c r="B6" s="74"/>
      <c r="C6" s="74"/>
      <c r="D6" s="18" t="s">
        <v>73</v>
      </c>
      <c r="E6" s="18" t="s">
        <v>1</v>
      </c>
      <c r="F6" s="7" t="s">
        <v>74</v>
      </c>
      <c r="G6" s="9" t="s">
        <v>1</v>
      </c>
      <c r="H6" s="78"/>
      <c r="I6" s="79"/>
      <c r="J6" s="76"/>
      <c r="K6" s="87"/>
      <c r="L6" s="88"/>
    </row>
    <row r="7" spans="1:13" ht="60">
      <c r="A7" s="13" t="s">
        <v>141</v>
      </c>
      <c r="B7" s="13" t="s">
        <v>142</v>
      </c>
      <c r="C7" s="55" t="s">
        <v>143</v>
      </c>
      <c r="D7" s="56" t="s">
        <v>144</v>
      </c>
      <c r="E7" s="56" t="s">
        <v>145</v>
      </c>
      <c r="F7" s="56" t="s">
        <v>146</v>
      </c>
      <c r="G7" s="56" t="s">
        <v>147</v>
      </c>
      <c r="H7" s="13"/>
      <c r="I7" s="56" t="s">
        <v>148</v>
      </c>
      <c r="J7" s="13"/>
      <c r="K7" s="13" t="s">
        <v>79</v>
      </c>
      <c r="L7" s="56" t="s">
        <v>149</v>
      </c>
    </row>
    <row r="8" spans="1:13" ht="60">
      <c r="A8" s="13" t="s">
        <v>141</v>
      </c>
      <c r="B8" s="13" t="s">
        <v>150</v>
      </c>
      <c r="C8" s="55" t="s">
        <v>151</v>
      </c>
      <c r="D8" s="56" t="s">
        <v>21</v>
      </c>
      <c r="E8" s="56" t="s">
        <v>152</v>
      </c>
      <c r="F8" s="13" t="s">
        <v>153</v>
      </c>
      <c r="G8" s="55" t="s">
        <v>154</v>
      </c>
      <c r="H8" s="56"/>
      <c r="I8" s="56" t="s">
        <v>155</v>
      </c>
      <c r="J8" s="13"/>
      <c r="K8" s="56" t="s">
        <v>148</v>
      </c>
      <c r="L8" s="56" t="s">
        <v>156</v>
      </c>
    </row>
    <row r="9" spans="1:13" ht="45">
      <c r="A9" s="13" t="s">
        <v>141</v>
      </c>
      <c r="B9" s="56" t="s">
        <v>157</v>
      </c>
      <c r="C9" s="55" t="s">
        <v>158</v>
      </c>
      <c r="D9" s="13"/>
      <c r="E9" s="56"/>
      <c r="F9" s="56" t="s">
        <v>159</v>
      </c>
      <c r="G9" s="56" t="s">
        <v>160</v>
      </c>
      <c r="H9" s="56"/>
      <c r="I9" s="56" t="s">
        <v>161</v>
      </c>
      <c r="J9" s="13"/>
      <c r="K9" s="56" t="s">
        <v>148</v>
      </c>
      <c r="L9" s="13" t="s">
        <v>162</v>
      </c>
    </row>
    <row r="12" spans="1:1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</row>
    <row r="13" spans="1:13">
      <c r="A13"/>
      <c r="B13"/>
      <c r="C13"/>
      <c r="D13"/>
      <c r="E13"/>
      <c r="F13"/>
      <c r="G13"/>
      <c r="H13"/>
      <c r="I13"/>
      <c r="J13"/>
      <c r="K13"/>
      <c r="L13"/>
    </row>
    <row r="14" spans="1:13">
      <c r="A14"/>
      <c r="B14"/>
      <c r="C14"/>
      <c r="D14"/>
      <c r="E14"/>
      <c r="F14"/>
      <c r="G14"/>
      <c r="H14"/>
      <c r="I14"/>
      <c r="J14"/>
      <c r="K14"/>
      <c r="L14"/>
    </row>
    <row r="15" spans="1:13">
      <c r="A15"/>
      <c r="B15"/>
      <c r="C15"/>
      <c r="D15"/>
      <c r="E15"/>
      <c r="F15"/>
      <c r="G15"/>
      <c r="H15"/>
      <c r="I15"/>
      <c r="J15"/>
      <c r="K15"/>
      <c r="L15"/>
    </row>
    <row r="16" spans="1:13">
      <c r="A16"/>
      <c r="B16"/>
      <c r="C16"/>
      <c r="D16"/>
      <c r="E16"/>
      <c r="F16"/>
      <c r="G16"/>
      <c r="H16"/>
      <c r="I16"/>
      <c r="J16"/>
      <c r="K16"/>
      <c r="L16"/>
    </row>
  </sheetData>
  <mergeCells count="16">
    <mergeCell ref="A1:M1"/>
    <mergeCell ref="B2:L2"/>
    <mergeCell ref="B3:L3"/>
    <mergeCell ref="B4:C4"/>
    <mergeCell ref="A5:A6"/>
    <mergeCell ref="B5:B6"/>
    <mergeCell ref="C5:C6"/>
    <mergeCell ref="H5:H6"/>
    <mergeCell ref="I5:I6"/>
    <mergeCell ref="D4:E4"/>
    <mergeCell ref="F4:G4"/>
    <mergeCell ref="K4:K6"/>
    <mergeCell ref="L4:L6"/>
    <mergeCell ref="D5:E5"/>
    <mergeCell ref="F5:G5"/>
    <mergeCell ref="J5:J6"/>
  </mergeCells>
  <hyperlinks>
    <hyperlink ref="A1" location="'Objetos de Dominio'!A1" display="Volver al inicio" xr:uid="{D411DE6F-B6AA-4877-8454-AEC23893A3C7}"/>
    <hyperlink ref="A1:M1" location="'Listado Objetos de Dominio'!A1" display="&lt;-Volver al inicio" xr:uid="{53B8BD25-0D2C-4313-BB8B-9056FACF80A3}"/>
  </hyperlink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C2AD3-FE96-42FB-BCC2-27BD4B4C88F5}">
  <dimension ref="A1:M14"/>
  <sheetViews>
    <sheetView workbookViewId="0">
      <pane ySplit="2" topLeftCell="A3" activePane="bottomLeft" state="frozen"/>
      <selection pane="bottomLeft" activeCell="A11" sqref="A11"/>
    </sheetView>
  </sheetViews>
  <sheetFormatPr defaultColWidth="11.42578125" defaultRowHeight="15"/>
  <cols>
    <col min="1" max="1" width="23.85546875" style="1" bestFit="1" customWidth="1"/>
    <col min="2" max="2" width="36.7109375" style="1" customWidth="1"/>
    <col min="3" max="3" width="61.140625" style="1" customWidth="1"/>
    <col min="4" max="4" width="31.7109375" style="1" customWidth="1"/>
    <col min="5" max="5" width="43.7109375" style="1" customWidth="1"/>
    <col min="6" max="6" width="38.42578125" style="1" customWidth="1"/>
    <col min="7" max="7" width="69.5703125" style="1" customWidth="1"/>
    <col min="8" max="8" width="37.5703125" style="1" customWidth="1"/>
    <col min="9" max="9" width="28.5703125" style="1" bestFit="1" customWidth="1"/>
    <col min="10" max="10" width="82.28515625" style="1" customWidth="1"/>
    <col min="11" max="11" width="51.28515625" style="1" customWidth="1"/>
    <col min="12" max="12" width="62.85546875" style="1" customWidth="1"/>
    <col min="13" max="13" width="19.28515625" style="1" bestFit="1" customWidth="1"/>
    <col min="14" max="14" width="132.5703125" style="1" bestFit="1" customWidth="1"/>
    <col min="15" max="15" width="46.42578125" style="1" bestFit="1" customWidth="1"/>
    <col min="16" max="16" width="50.140625" style="1" bestFit="1" customWidth="1"/>
    <col min="17" max="17" width="66.85546875" style="1" bestFit="1" customWidth="1"/>
    <col min="18" max="18" width="52.28515625" style="1" bestFit="1" customWidth="1"/>
    <col min="19" max="16384" width="11.42578125" style="1"/>
  </cols>
  <sheetData>
    <row r="1" spans="1:13" ht="15.75" customHeight="1" thickBot="1">
      <c r="A1" s="89" t="s">
        <v>55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3" ht="25.5" customHeight="1">
      <c r="A2" s="5" t="s">
        <v>56</v>
      </c>
      <c r="B2" s="82" t="str">
        <f>'Listado Objetos de Dominio'!$A$5</f>
        <v>Reporte</v>
      </c>
      <c r="C2" s="82"/>
      <c r="D2" s="82"/>
      <c r="E2" s="82"/>
      <c r="F2" s="82"/>
      <c r="G2" s="82"/>
      <c r="H2" s="82"/>
      <c r="I2" s="82"/>
      <c r="J2" s="82"/>
      <c r="K2" s="82"/>
      <c r="L2" s="83"/>
      <c r="M2" s="3"/>
    </row>
    <row r="3" spans="1:13" ht="29.25" customHeight="1">
      <c r="A3" s="6" t="s">
        <v>57</v>
      </c>
      <c r="B3" s="84" t="str">
        <f>'Listado Objetos de Dominio'!$B$5</f>
        <v>Informe que consolida información de los distintos procesos (ventas, compras/abastecimientos, producción, inventario). Generado por Administradores o Trabajadores para apoyar la toma de decisiones estratégicas.</v>
      </c>
      <c r="C3" s="84"/>
      <c r="D3" s="84"/>
      <c r="E3" s="84"/>
      <c r="F3" s="84"/>
      <c r="G3" s="84"/>
      <c r="H3" s="84"/>
      <c r="I3" s="84"/>
      <c r="J3" s="84"/>
      <c r="K3" s="84"/>
      <c r="L3" s="85"/>
      <c r="M3" s="4"/>
    </row>
    <row r="4" spans="1:13" ht="15.75" customHeight="1">
      <c r="A4" s="54" t="s">
        <v>58</v>
      </c>
      <c r="B4" s="74" t="s">
        <v>59</v>
      </c>
      <c r="C4" s="74"/>
      <c r="D4" s="86" t="s">
        <v>60</v>
      </c>
      <c r="E4" s="86"/>
      <c r="F4" s="77" t="s">
        <v>61</v>
      </c>
      <c r="G4" s="77"/>
      <c r="H4" s="10" t="s">
        <v>62</v>
      </c>
      <c r="I4" s="11" t="s">
        <v>63</v>
      </c>
      <c r="J4" s="19" t="s">
        <v>64</v>
      </c>
      <c r="K4" s="80" t="s">
        <v>65</v>
      </c>
      <c r="L4" s="90" t="s">
        <v>66</v>
      </c>
      <c r="M4" s="4"/>
    </row>
    <row r="5" spans="1:13">
      <c r="A5" s="91" t="s">
        <v>58</v>
      </c>
      <c r="B5" s="74" t="s">
        <v>67</v>
      </c>
      <c r="C5" s="74" t="s">
        <v>1</v>
      </c>
      <c r="D5" s="86" t="s">
        <v>68</v>
      </c>
      <c r="E5" s="86"/>
      <c r="F5" s="75" t="s">
        <v>69</v>
      </c>
      <c r="G5" s="75"/>
      <c r="H5" s="78" t="s">
        <v>70</v>
      </c>
      <c r="I5" s="79" t="s">
        <v>71</v>
      </c>
      <c r="J5" s="76" t="s">
        <v>72</v>
      </c>
      <c r="K5" s="80"/>
      <c r="L5" s="90"/>
    </row>
    <row r="6" spans="1:13">
      <c r="A6" s="91"/>
      <c r="B6" s="74"/>
      <c r="C6" s="74"/>
      <c r="D6" s="18" t="s">
        <v>73</v>
      </c>
      <c r="E6" s="18" t="s">
        <v>1</v>
      </c>
      <c r="F6" s="7" t="s">
        <v>74</v>
      </c>
      <c r="G6" s="7" t="s">
        <v>1</v>
      </c>
      <c r="H6" s="78"/>
      <c r="I6" s="79"/>
      <c r="J6" s="76"/>
      <c r="K6" s="80"/>
      <c r="L6" s="90"/>
    </row>
    <row r="7" spans="1:13" ht="30">
      <c r="A7" s="46" t="s">
        <v>6</v>
      </c>
      <c r="B7" s="46" t="s">
        <v>163</v>
      </c>
      <c r="C7" s="46" t="s">
        <v>164</v>
      </c>
      <c r="D7" s="46" t="s">
        <v>165</v>
      </c>
      <c r="E7" s="46" t="s">
        <v>166</v>
      </c>
      <c r="F7" s="46" t="s">
        <v>167</v>
      </c>
      <c r="G7" s="46" t="s">
        <v>168</v>
      </c>
      <c r="H7" s="46"/>
      <c r="I7" s="46" t="s">
        <v>169</v>
      </c>
      <c r="J7" s="46" t="s">
        <v>170</v>
      </c>
      <c r="K7" s="46" t="s">
        <v>171</v>
      </c>
      <c r="L7" s="46" t="s">
        <v>172</v>
      </c>
    </row>
    <row r="8" spans="1:13">
      <c r="A8" s="46" t="s">
        <v>6</v>
      </c>
      <c r="B8" s="46" t="s">
        <v>173</v>
      </c>
      <c r="C8" s="46" t="s">
        <v>174</v>
      </c>
      <c r="D8" s="46" t="s">
        <v>175</v>
      </c>
      <c r="E8" s="46" t="s">
        <v>176</v>
      </c>
      <c r="F8" s="46" t="s">
        <v>177</v>
      </c>
      <c r="G8" s="46" t="s">
        <v>178</v>
      </c>
      <c r="H8" s="46"/>
      <c r="I8" s="46" t="s">
        <v>179</v>
      </c>
      <c r="J8" s="46" t="s">
        <v>180</v>
      </c>
      <c r="K8" s="46" t="s">
        <v>169</v>
      </c>
      <c r="L8" s="46" t="s">
        <v>181</v>
      </c>
    </row>
    <row r="9" spans="1:13" ht="30">
      <c r="A9" s="46" t="s">
        <v>6</v>
      </c>
      <c r="B9" s="46" t="s">
        <v>182</v>
      </c>
      <c r="C9" s="46" t="s">
        <v>183</v>
      </c>
      <c r="D9" s="46" t="s">
        <v>184</v>
      </c>
      <c r="E9" s="46" t="s">
        <v>185</v>
      </c>
      <c r="F9" s="46" t="s">
        <v>186</v>
      </c>
      <c r="G9" s="46" t="s">
        <v>187</v>
      </c>
      <c r="H9" s="46"/>
      <c r="I9" s="46" t="s">
        <v>188</v>
      </c>
      <c r="J9" s="46" t="s">
        <v>189</v>
      </c>
      <c r="K9" s="46" t="s">
        <v>169</v>
      </c>
      <c r="L9" s="46" t="s">
        <v>81</v>
      </c>
    </row>
    <row r="12" spans="1:1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</row>
    <row r="13" spans="1:13">
      <c r="A13"/>
      <c r="B13"/>
      <c r="C13"/>
      <c r="D13"/>
      <c r="E13"/>
      <c r="F13"/>
      <c r="G13"/>
      <c r="H13"/>
      <c r="I13"/>
      <c r="J13"/>
      <c r="K13"/>
      <c r="L13"/>
    </row>
    <row r="14" spans="1:13">
      <c r="A14"/>
      <c r="B14"/>
      <c r="C14"/>
      <c r="D14"/>
      <c r="E14"/>
      <c r="F14"/>
      <c r="G14"/>
      <c r="H14"/>
      <c r="I14"/>
      <c r="J14"/>
      <c r="K14"/>
      <c r="L14"/>
    </row>
  </sheetData>
  <mergeCells count="16">
    <mergeCell ref="J5:J6"/>
    <mergeCell ref="A1:M1"/>
    <mergeCell ref="B2:L2"/>
    <mergeCell ref="B3:L3"/>
    <mergeCell ref="B4:C4"/>
    <mergeCell ref="D4:E4"/>
    <mergeCell ref="F4:G4"/>
    <mergeCell ref="K4:K6"/>
    <mergeCell ref="L4:L6"/>
    <mergeCell ref="A5:A6"/>
    <mergeCell ref="B5:B6"/>
    <mergeCell ref="C5:C6"/>
    <mergeCell ref="D5:E5"/>
    <mergeCell ref="F5:G5"/>
    <mergeCell ref="H5:H6"/>
    <mergeCell ref="I5:I6"/>
  </mergeCells>
  <hyperlinks>
    <hyperlink ref="A1" location="'Objetos de Dominio'!A1" display="Volver al inicio" xr:uid="{96A01A1C-8223-4D3D-87E0-D4E6E5E73016}"/>
    <hyperlink ref="A1:M1" location="'Listado Objetos de Dominio'!A1" display="&lt;-Volver al inicio" xr:uid="{1B4C01A2-28B0-4C08-9833-945AD023877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9BB4A-6BCA-43E0-ADA2-ED7BB29B626B}">
  <dimension ref="A1:M17"/>
  <sheetViews>
    <sheetView workbookViewId="0">
      <pane ySplit="2" topLeftCell="A3" activePane="bottomLeft" state="frozen"/>
      <selection pane="bottomLeft" activeCell="A3" sqref="A3"/>
    </sheetView>
  </sheetViews>
  <sheetFormatPr defaultColWidth="11.42578125" defaultRowHeight="15"/>
  <cols>
    <col min="1" max="1" width="23.85546875" style="1" bestFit="1" customWidth="1"/>
    <col min="2" max="2" width="36.7109375" style="1" customWidth="1"/>
    <col min="3" max="3" width="61.140625" style="1" customWidth="1"/>
    <col min="4" max="4" width="31.7109375" style="1" customWidth="1"/>
    <col min="5" max="5" width="43.7109375" style="1" customWidth="1"/>
    <col min="6" max="6" width="38.42578125" style="1" customWidth="1"/>
    <col min="7" max="7" width="84.5703125" style="1" customWidth="1"/>
    <col min="8" max="8" width="37.5703125" style="1" customWidth="1"/>
    <col min="9" max="9" width="28.5703125" style="1" bestFit="1" customWidth="1"/>
    <col min="10" max="10" width="82.28515625" style="1" customWidth="1"/>
    <col min="11" max="11" width="51.28515625" style="1" customWidth="1"/>
    <col min="12" max="12" width="62.85546875" style="1" customWidth="1"/>
    <col min="13" max="13" width="19.28515625" style="1" bestFit="1" customWidth="1"/>
    <col min="14" max="14" width="132.5703125" style="1" bestFit="1" customWidth="1"/>
    <col min="15" max="15" width="46.42578125" style="1" bestFit="1" customWidth="1"/>
    <col min="16" max="16" width="50.140625" style="1" bestFit="1" customWidth="1"/>
    <col min="17" max="17" width="66.85546875" style="1" bestFit="1" customWidth="1"/>
    <col min="18" max="18" width="52.28515625" style="1" bestFit="1" customWidth="1"/>
    <col min="19" max="16384" width="11.42578125" style="1"/>
  </cols>
  <sheetData>
    <row r="1" spans="1:13" ht="15.75" customHeight="1" thickBot="1">
      <c r="A1" s="89" t="s">
        <v>55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3" ht="25.5" customHeight="1">
      <c r="A2" s="5" t="s">
        <v>56</v>
      </c>
      <c r="B2" s="82" t="str">
        <f>'Listado Objetos de Dominio'!$A$6</f>
        <v>Trabajador</v>
      </c>
      <c r="C2" s="82"/>
      <c r="D2" s="82"/>
      <c r="E2" s="82"/>
      <c r="F2" s="82"/>
      <c r="G2" s="82"/>
      <c r="H2" s="82"/>
      <c r="I2" s="82"/>
      <c r="J2" s="82"/>
      <c r="K2" s="82"/>
      <c r="L2" s="83"/>
      <c r="M2" s="3"/>
    </row>
    <row r="3" spans="1:13" ht="29.25" customHeight="1">
      <c r="A3" s="6" t="s">
        <v>57</v>
      </c>
      <c r="B3" s="84" t="str">
        <f>'Listado Objetos de Dominio'!$B$6</f>
        <v>Empleado del negocio que dispone de un Usuario en el sistema. Ejecuta operaciones como registrar Ventas, registrar Producción, gestionar Abastecimientos y atender consultas.</v>
      </c>
      <c r="C3" s="84"/>
      <c r="D3" s="84"/>
      <c r="E3" s="84"/>
      <c r="F3" s="84"/>
      <c r="G3" s="84"/>
      <c r="H3" s="84"/>
      <c r="I3" s="84"/>
      <c r="J3" s="84"/>
      <c r="K3" s="84"/>
      <c r="L3" s="85"/>
      <c r="M3" s="4"/>
    </row>
    <row r="4" spans="1:13" ht="15.75" customHeight="1">
      <c r="A4" s="8" t="s">
        <v>58</v>
      </c>
      <c r="B4" s="74" t="s">
        <v>59</v>
      </c>
      <c r="C4" s="74"/>
      <c r="D4" s="86" t="s">
        <v>60</v>
      </c>
      <c r="E4" s="86"/>
      <c r="F4" s="77" t="s">
        <v>61</v>
      </c>
      <c r="G4" s="77"/>
      <c r="H4" s="10" t="s">
        <v>62</v>
      </c>
      <c r="I4" s="11" t="s">
        <v>63</v>
      </c>
      <c r="J4" s="19" t="s">
        <v>64</v>
      </c>
      <c r="K4" s="80" t="s">
        <v>65</v>
      </c>
      <c r="L4" s="81" t="s">
        <v>66</v>
      </c>
      <c r="M4" s="4"/>
    </row>
    <row r="5" spans="1:13">
      <c r="A5" s="73" t="s">
        <v>58</v>
      </c>
      <c r="B5" s="74" t="s">
        <v>67</v>
      </c>
      <c r="C5" s="74" t="s">
        <v>1</v>
      </c>
      <c r="D5" s="86" t="s">
        <v>68</v>
      </c>
      <c r="E5" s="86"/>
      <c r="F5" s="75" t="s">
        <v>69</v>
      </c>
      <c r="G5" s="75"/>
      <c r="H5" s="78" t="s">
        <v>70</v>
      </c>
      <c r="I5" s="79" t="s">
        <v>71</v>
      </c>
      <c r="J5" s="76" t="s">
        <v>72</v>
      </c>
      <c r="K5" s="80"/>
      <c r="L5" s="81"/>
    </row>
    <row r="6" spans="1:13">
      <c r="A6" s="73"/>
      <c r="B6" s="74"/>
      <c r="C6" s="74"/>
      <c r="D6" s="18" t="s">
        <v>73</v>
      </c>
      <c r="E6" s="18" t="s">
        <v>1</v>
      </c>
      <c r="F6" s="7" t="s">
        <v>74</v>
      </c>
      <c r="G6" s="7" t="s">
        <v>1</v>
      </c>
      <c r="H6" s="78"/>
      <c r="I6" s="79"/>
      <c r="J6" s="76"/>
      <c r="K6" s="80"/>
      <c r="L6" s="81"/>
    </row>
    <row r="7" spans="1:13">
      <c r="A7" s="13" t="s">
        <v>6</v>
      </c>
      <c r="B7" s="13" t="s">
        <v>190</v>
      </c>
      <c r="C7" s="13" t="s">
        <v>191</v>
      </c>
      <c r="D7" s="13"/>
      <c r="E7" s="13"/>
      <c r="F7" s="13" t="s">
        <v>192</v>
      </c>
      <c r="G7" s="56" t="s">
        <v>193</v>
      </c>
      <c r="H7" s="13"/>
      <c r="I7" s="56" t="s">
        <v>194</v>
      </c>
      <c r="J7" s="13"/>
      <c r="K7" s="56" t="s">
        <v>195</v>
      </c>
      <c r="L7" s="56" t="s">
        <v>196</v>
      </c>
    </row>
    <row r="8" spans="1:13">
      <c r="A8" s="13" t="s">
        <v>6</v>
      </c>
      <c r="B8" s="13" t="s">
        <v>197</v>
      </c>
      <c r="C8" s="13" t="s">
        <v>198</v>
      </c>
      <c r="D8" s="13"/>
      <c r="E8" s="13"/>
      <c r="F8" s="13" t="s">
        <v>199</v>
      </c>
      <c r="G8" s="56" t="s">
        <v>200</v>
      </c>
      <c r="H8" s="13"/>
      <c r="I8" s="56" t="s">
        <v>201</v>
      </c>
      <c r="J8" s="13" t="s">
        <v>202</v>
      </c>
      <c r="K8" s="56" t="s">
        <v>203</v>
      </c>
      <c r="L8" s="56" t="s">
        <v>204</v>
      </c>
    </row>
    <row r="9" spans="1:13">
      <c r="A9" s="13" t="s">
        <v>6</v>
      </c>
      <c r="B9" s="13" t="s">
        <v>205</v>
      </c>
      <c r="C9" s="13" t="s">
        <v>206</v>
      </c>
      <c r="D9" s="13"/>
      <c r="E9" s="13"/>
      <c r="F9" s="13" t="s">
        <v>207</v>
      </c>
      <c r="G9" s="56" t="s">
        <v>208</v>
      </c>
      <c r="H9" s="13"/>
      <c r="I9" s="56" t="s">
        <v>209</v>
      </c>
      <c r="J9" s="56" t="s">
        <v>210</v>
      </c>
      <c r="K9" s="56" t="s">
        <v>194</v>
      </c>
      <c r="L9" s="56" t="s">
        <v>211</v>
      </c>
    </row>
    <row r="10" spans="1:13">
      <c r="A10" s="13" t="s">
        <v>6</v>
      </c>
      <c r="B10" s="13" t="s">
        <v>212</v>
      </c>
      <c r="C10" s="13" t="s">
        <v>213</v>
      </c>
      <c r="D10" s="13"/>
      <c r="E10" s="13"/>
      <c r="F10" s="13" t="s">
        <v>214</v>
      </c>
      <c r="G10" s="56" t="s">
        <v>215</v>
      </c>
      <c r="H10" s="13"/>
      <c r="I10" s="56" t="s">
        <v>216</v>
      </c>
      <c r="J10" s="56" t="s">
        <v>217</v>
      </c>
      <c r="K10" s="56" t="s">
        <v>194</v>
      </c>
      <c r="L10" s="56" t="s">
        <v>218</v>
      </c>
    </row>
    <row r="11" spans="1:1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</row>
    <row r="12" spans="1:13">
      <c r="A12"/>
      <c r="B12"/>
      <c r="C12"/>
      <c r="D12"/>
      <c r="E12"/>
      <c r="F12"/>
      <c r="G12"/>
      <c r="H12"/>
      <c r="I12"/>
      <c r="J12"/>
      <c r="K12"/>
      <c r="L12"/>
    </row>
    <row r="13" spans="1:13">
      <c r="A13"/>
      <c r="B13"/>
      <c r="C13"/>
      <c r="D13"/>
      <c r="E13"/>
      <c r="F13"/>
      <c r="G13"/>
      <c r="H13"/>
      <c r="I13"/>
      <c r="J13"/>
      <c r="K13"/>
      <c r="L13"/>
    </row>
    <row r="14" spans="1:13">
      <c r="A14"/>
      <c r="B14"/>
      <c r="C14"/>
      <c r="D14"/>
      <c r="E14"/>
      <c r="F14"/>
      <c r="G14"/>
      <c r="H14"/>
      <c r="I14"/>
      <c r="J14"/>
      <c r="K14"/>
      <c r="L14"/>
    </row>
    <row r="15" spans="1:13">
      <c r="A15"/>
      <c r="B15"/>
      <c r="C15"/>
      <c r="D15"/>
      <c r="E15"/>
      <c r="F15"/>
      <c r="G15"/>
      <c r="H15"/>
      <c r="I15"/>
      <c r="J15"/>
      <c r="K15"/>
      <c r="L15"/>
    </row>
    <row r="16" spans="1:13">
      <c r="A16"/>
      <c r="B16"/>
      <c r="C16"/>
      <c r="D16"/>
      <c r="E16"/>
      <c r="F16"/>
      <c r="G16"/>
      <c r="H16"/>
      <c r="I16"/>
      <c r="J16"/>
      <c r="K16"/>
      <c r="L16"/>
    </row>
    <row r="17" spans="1:12">
      <c r="A17"/>
      <c r="B17"/>
      <c r="C17"/>
      <c r="D17"/>
      <c r="E17"/>
      <c r="F17"/>
      <c r="G17"/>
      <c r="H17"/>
      <c r="I17"/>
      <c r="J17"/>
      <c r="K17"/>
      <c r="L17"/>
    </row>
  </sheetData>
  <mergeCells count="16">
    <mergeCell ref="J5:J6"/>
    <mergeCell ref="A1:M1"/>
    <mergeCell ref="B2:L2"/>
    <mergeCell ref="B3:L3"/>
    <mergeCell ref="B4:C4"/>
    <mergeCell ref="D4:E4"/>
    <mergeCell ref="F4:G4"/>
    <mergeCell ref="K4:K6"/>
    <mergeCell ref="L4:L6"/>
    <mergeCell ref="A5:A6"/>
    <mergeCell ref="B5:B6"/>
    <mergeCell ref="C5:C6"/>
    <mergeCell ref="D5:E5"/>
    <mergeCell ref="F5:G5"/>
    <mergeCell ref="H5:H6"/>
    <mergeCell ref="I5:I6"/>
  </mergeCells>
  <hyperlinks>
    <hyperlink ref="A1" location="'Objetos de Dominio'!A1" display="Volver al inicio" xr:uid="{D5CD74EF-56F2-490D-BFA0-0AC34EC68423}"/>
    <hyperlink ref="A1:M1" location="'Listado Objetos de Dominio'!A1" display="&lt;-Volver al inicio" xr:uid="{E27739B1-408E-45F9-9468-FED1C6F8A5A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2F797-648C-42C6-95F1-28E5C09DBAA3}">
  <dimension ref="A1:M14"/>
  <sheetViews>
    <sheetView topLeftCell="F1" workbookViewId="0">
      <pane ySplit="2" topLeftCell="A3" activePane="bottomLeft" state="frozen"/>
      <selection pane="bottomLeft" activeCell="B11" sqref="B11"/>
    </sheetView>
  </sheetViews>
  <sheetFormatPr defaultColWidth="11.42578125" defaultRowHeight="15"/>
  <cols>
    <col min="1" max="1" width="23.85546875" style="1" bestFit="1" customWidth="1"/>
    <col min="2" max="2" width="36.7109375" style="1" customWidth="1"/>
    <col min="3" max="3" width="61.140625" style="1" customWidth="1"/>
    <col min="4" max="4" width="31.7109375" style="1" customWidth="1"/>
    <col min="5" max="5" width="43.7109375" style="1" customWidth="1"/>
    <col min="6" max="6" width="38.42578125" style="1" customWidth="1"/>
    <col min="7" max="7" width="84.5703125" style="1" customWidth="1"/>
    <col min="8" max="8" width="37.5703125" style="1" customWidth="1"/>
    <col min="9" max="9" width="28.5703125" style="1" bestFit="1" customWidth="1"/>
    <col min="10" max="10" width="82.28515625" style="1" customWidth="1"/>
    <col min="11" max="11" width="51.28515625" style="1" customWidth="1"/>
    <col min="12" max="12" width="62.85546875" style="1" customWidth="1"/>
    <col min="13" max="13" width="19.28515625" style="1" bestFit="1" customWidth="1"/>
    <col min="14" max="14" width="132.5703125" style="1" bestFit="1" customWidth="1"/>
    <col min="15" max="15" width="46.42578125" style="1" bestFit="1" customWidth="1"/>
    <col min="16" max="16" width="50.140625" style="1" bestFit="1" customWidth="1"/>
    <col min="17" max="17" width="66.85546875" style="1" bestFit="1" customWidth="1"/>
    <col min="18" max="18" width="52.28515625" style="1" bestFit="1" customWidth="1"/>
    <col min="19" max="16384" width="11.42578125" style="1"/>
  </cols>
  <sheetData>
    <row r="1" spans="1:13" ht="15.75" customHeight="1" thickBot="1">
      <c r="A1" s="89" t="s">
        <v>55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3" ht="25.5" customHeight="1">
      <c r="A2" s="5" t="s">
        <v>56</v>
      </c>
      <c r="B2" s="82" t="str">
        <f>'Listado Objetos de Dominio'!$A$7</f>
        <v>Cliente</v>
      </c>
      <c r="C2" s="82"/>
      <c r="D2" s="82"/>
      <c r="E2" s="82"/>
      <c r="F2" s="82"/>
      <c r="G2" s="82"/>
      <c r="H2" s="82"/>
      <c r="I2" s="82"/>
      <c r="J2" s="82"/>
      <c r="K2" s="82"/>
      <c r="L2" s="83"/>
      <c r="M2" s="3"/>
    </row>
    <row r="3" spans="1:13" ht="29.25" customHeight="1">
      <c r="A3" s="6" t="s">
        <v>57</v>
      </c>
      <c r="B3" s="84" t="str">
        <f>'Listado Objetos de Dominio'!$B$7</f>
        <v>Comprador de  bloques y materiales. Registra datos de contacto, histórico de pedidos, métodos de pago y preferencias de entrega. Puede interactuar con el portal para ver catálogo y solicitar atención.</v>
      </c>
      <c r="C3" s="84"/>
      <c r="D3" s="84"/>
      <c r="E3" s="84"/>
      <c r="F3" s="84"/>
      <c r="G3" s="84"/>
      <c r="H3" s="84"/>
      <c r="I3" s="84"/>
      <c r="J3" s="84"/>
      <c r="K3" s="84"/>
      <c r="L3" s="85"/>
      <c r="M3" s="4"/>
    </row>
    <row r="4" spans="1:13" ht="15.75" customHeight="1">
      <c r="A4" s="54" t="s">
        <v>58</v>
      </c>
      <c r="B4" s="74" t="s">
        <v>59</v>
      </c>
      <c r="C4" s="74"/>
      <c r="D4" s="86" t="s">
        <v>60</v>
      </c>
      <c r="E4" s="86"/>
      <c r="F4" s="77" t="s">
        <v>61</v>
      </c>
      <c r="G4" s="77"/>
      <c r="H4" s="10" t="s">
        <v>62</v>
      </c>
      <c r="I4" s="11" t="s">
        <v>63</v>
      </c>
      <c r="J4" s="19" t="s">
        <v>64</v>
      </c>
      <c r="K4" s="80" t="s">
        <v>65</v>
      </c>
      <c r="L4" s="90" t="s">
        <v>66</v>
      </c>
      <c r="M4" s="4"/>
    </row>
    <row r="5" spans="1:13">
      <c r="A5" s="91" t="s">
        <v>58</v>
      </c>
      <c r="B5" s="74" t="s">
        <v>67</v>
      </c>
      <c r="C5" s="74" t="s">
        <v>1</v>
      </c>
      <c r="D5" s="86" t="s">
        <v>68</v>
      </c>
      <c r="E5" s="86"/>
      <c r="F5" s="75" t="s">
        <v>69</v>
      </c>
      <c r="G5" s="75"/>
      <c r="H5" s="78" t="s">
        <v>70</v>
      </c>
      <c r="I5" s="79" t="s">
        <v>71</v>
      </c>
      <c r="J5" s="76" t="s">
        <v>72</v>
      </c>
      <c r="K5" s="80"/>
      <c r="L5" s="90"/>
    </row>
    <row r="6" spans="1:13">
      <c r="A6" s="91"/>
      <c r="B6" s="74"/>
      <c r="C6" s="74"/>
      <c r="D6" s="18" t="s">
        <v>73</v>
      </c>
      <c r="E6" s="18" t="s">
        <v>1</v>
      </c>
      <c r="F6" s="7" t="s">
        <v>74</v>
      </c>
      <c r="G6" s="7" t="s">
        <v>1</v>
      </c>
      <c r="H6" s="78"/>
      <c r="I6" s="79"/>
      <c r="J6" s="76"/>
      <c r="K6" s="80"/>
      <c r="L6" s="90"/>
    </row>
    <row r="7" spans="1:13" ht="30.75">
      <c r="A7" s="46" t="s">
        <v>141</v>
      </c>
      <c r="B7" s="46" t="s">
        <v>219</v>
      </c>
      <c r="C7" s="46" t="s">
        <v>220</v>
      </c>
      <c r="D7" s="46" t="s">
        <v>221</v>
      </c>
      <c r="E7" s="46" t="s">
        <v>222</v>
      </c>
      <c r="F7" s="46" t="s">
        <v>223</v>
      </c>
      <c r="G7" s="46" t="s">
        <v>224</v>
      </c>
      <c r="H7" s="46"/>
      <c r="I7" s="46" t="s">
        <v>225</v>
      </c>
      <c r="J7" s="46" t="s">
        <v>226</v>
      </c>
      <c r="K7" s="46" t="s">
        <v>81</v>
      </c>
      <c r="L7" s="46" t="s">
        <v>227</v>
      </c>
    </row>
    <row r="8" spans="1:13" ht="30.75">
      <c r="A8" s="46" t="s">
        <v>141</v>
      </c>
      <c r="B8" s="46" t="s">
        <v>228</v>
      </c>
      <c r="C8" s="46" t="s">
        <v>229</v>
      </c>
      <c r="D8" s="46" t="s">
        <v>230</v>
      </c>
      <c r="E8" s="46" t="s">
        <v>231</v>
      </c>
      <c r="F8" s="46" t="s">
        <v>232</v>
      </c>
      <c r="G8" s="46" t="s">
        <v>233</v>
      </c>
      <c r="H8" s="46"/>
      <c r="I8" s="46" t="s">
        <v>234</v>
      </c>
      <c r="J8" s="46" t="s">
        <v>235</v>
      </c>
      <c r="K8" s="46" t="s">
        <v>219</v>
      </c>
      <c r="L8" s="46" t="s">
        <v>236</v>
      </c>
    </row>
    <row r="9" spans="1:13" ht="30.75">
      <c r="A9" s="46" t="s">
        <v>141</v>
      </c>
      <c r="B9" s="46" t="s">
        <v>236</v>
      </c>
      <c r="C9" s="46" t="s">
        <v>237</v>
      </c>
      <c r="D9" s="46" t="s">
        <v>176</v>
      </c>
      <c r="E9" s="46" t="s">
        <v>238</v>
      </c>
      <c r="F9" s="46" t="s">
        <v>239</v>
      </c>
      <c r="G9" s="46" t="s">
        <v>240</v>
      </c>
      <c r="H9" s="46"/>
      <c r="I9" s="46" t="s">
        <v>241</v>
      </c>
      <c r="J9" s="46" t="s">
        <v>242</v>
      </c>
      <c r="K9" s="46" t="s">
        <v>243</v>
      </c>
      <c r="L9" s="46" t="s">
        <v>244</v>
      </c>
    </row>
    <row r="10" spans="1:13">
      <c r="A10"/>
      <c r="B10"/>
      <c r="C10"/>
      <c r="D10"/>
      <c r="E10"/>
      <c r="F10"/>
      <c r="G10"/>
      <c r="H10"/>
      <c r="I10"/>
      <c r="J10"/>
      <c r="K10"/>
      <c r="L10"/>
    </row>
    <row r="11" spans="1:13">
      <c r="A11"/>
      <c r="B11"/>
      <c r="C11"/>
      <c r="D11"/>
      <c r="E11"/>
      <c r="F11"/>
      <c r="G11"/>
      <c r="H11"/>
      <c r="I11"/>
      <c r="J11"/>
      <c r="K11"/>
      <c r="L11"/>
    </row>
    <row r="12" spans="1:13">
      <c r="A12"/>
      <c r="B12"/>
      <c r="C12"/>
      <c r="D12"/>
      <c r="E12"/>
      <c r="F12"/>
      <c r="G12"/>
      <c r="H12"/>
      <c r="I12"/>
      <c r="J12"/>
      <c r="K12"/>
      <c r="L12"/>
    </row>
    <row r="13" spans="1:13">
      <c r="A13"/>
      <c r="B13"/>
      <c r="C13"/>
      <c r="D13"/>
      <c r="E13"/>
      <c r="F13"/>
      <c r="G13"/>
      <c r="H13"/>
      <c r="I13"/>
      <c r="J13"/>
      <c r="K13"/>
      <c r="L13"/>
    </row>
    <row r="14" spans="1:13">
      <c r="A14"/>
      <c r="B14"/>
      <c r="C14"/>
      <c r="D14"/>
      <c r="E14"/>
      <c r="F14"/>
      <c r="G14"/>
      <c r="H14"/>
      <c r="I14"/>
      <c r="J14"/>
      <c r="K14"/>
      <c r="L14"/>
    </row>
  </sheetData>
  <mergeCells count="16">
    <mergeCell ref="J5:J6"/>
    <mergeCell ref="A1:M1"/>
    <mergeCell ref="B2:L2"/>
    <mergeCell ref="B3:L3"/>
    <mergeCell ref="B4:C4"/>
    <mergeCell ref="D4:E4"/>
    <mergeCell ref="F4:G4"/>
    <mergeCell ref="K4:K6"/>
    <mergeCell ref="L4:L6"/>
    <mergeCell ref="A5:A6"/>
    <mergeCell ref="B5:B6"/>
    <mergeCell ref="C5:C6"/>
    <mergeCell ref="D5:E5"/>
    <mergeCell ref="F5:G5"/>
    <mergeCell ref="H5:H6"/>
    <mergeCell ref="I5:I6"/>
  </mergeCells>
  <hyperlinks>
    <hyperlink ref="A1" location="'Objetos de Dominio'!A1" display="Volver al inicio" xr:uid="{E63ECA24-ECCF-49BC-8949-7601E54FF061}"/>
    <hyperlink ref="A1:M1" location="'Listado Objetos de Dominio'!A1" display="&lt;-Volver al inicio" xr:uid="{5A97D54D-D67C-4FA7-9ED1-8E70F99A4E4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18A35-6318-4492-B6E0-5B227F80B059}">
  <dimension ref="A1:M16"/>
  <sheetViews>
    <sheetView workbookViewId="0">
      <pane ySplit="2" topLeftCell="A3" activePane="bottomLeft" state="frozen"/>
      <selection pane="bottomLeft" activeCell="B12" sqref="B12"/>
    </sheetView>
  </sheetViews>
  <sheetFormatPr defaultColWidth="11.42578125" defaultRowHeight="15"/>
  <cols>
    <col min="1" max="1" width="23.85546875" style="1" bestFit="1" customWidth="1"/>
    <col min="2" max="2" width="36.7109375" style="1" customWidth="1"/>
    <col min="3" max="3" width="61.140625" style="1" customWidth="1"/>
    <col min="4" max="4" width="31.7109375" style="1" customWidth="1"/>
    <col min="5" max="5" width="43.7109375" style="1" customWidth="1"/>
    <col min="6" max="6" width="38.42578125" style="1" customWidth="1"/>
    <col min="7" max="7" width="69.5703125" style="1" customWidth="1"/>
    <col min="8" max="8" width="37.5703125" style="1" customWidth="1"/>
    <col min="9" max="9" width="28.5703125" style="1" bestFit="1" customWidth="1"/>
    <col min="10" max="10" width="82.28515625" style="1" customWidth="1"/>
    <col min="11" max="11" width="51.28515625" style="1" customWidth="1"/>
    <col min="12" max="12" width="62.85546875" style="1" customWidth="1"/>
    <col min="13" max="13" width="19.28515625" style="1" bestFit="1" customWidth="1"/>
    <col min="14" max="14" width="132.5703125" style="1" bestFit="1" customWidth="1"/>
    <col min="15" max="15" width="46.42578125" style="1" bestFit="1" customWidth="1"/>
    <col min="16" max="16" width="50.140625" style="1" bestFit="1" customWidth="1"/>
    <col min="17" max="17" width="66.85546875" style="1" bestFit="1" customWidth="1"/>
    <col min="18" max="18" width="52.28515625" style="1" bestFit="1" customWidth="1"/>
    <col min="19" max="16384" width="11.42578125" style="1"/>
  </cols>
  <sheetData>
    <row r="1" spans="1:13" ht="15.75" customHeight="1" thickBot="1">
      <c r="A1" s="89" t="s">
        <v>55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3" ht="25.5" customHeight="1">
      <c r="A2" s="5" t="s">
        <v>56</v>
      </c>
      <c r="B2" s="82" t="str">
        <f>'Listado Objetos de Dominio'!$A$9</f>
        <v>Producción</v>
      </c>
      <c r="C2" s="82"/>
      <c r="D2" s="82"/>
      <c r="E2" s="82"/>
      <c r="F2" s="82"/>
      <c r="G2" s="82"/>
      <c r="H2" s="82"/>
      <c r="I2" s="82"/>
      <c r="J2" s="82"/>
      <c r="K2" s="82"/>
      <c r="L2" s="83"/>
      <c r="M2" s="3"/>
    </row>
    <row r="3" spans="1:13" ht="29.25" customHeight="1">
      <c r="A3" s="6" t="s">
        <v>57</v>
      </c>
      <c r="B3" s="84" t="str">
        <f>'Listado Objetos de Dominio'!$B$9</f>
        <v>Registro diario de bloques fabricados: cantidad producida, lote, fecha, insumos  y trabajadores responsables.</v>
      </c>
      <c r="C3" s="84"/>
      <c r="D3" s="84"/>
      <c r="E3" s="84"/>
      <c r="F3" s="84"/>
      <c r="G3" s="84"/>
      <c r="H3" s="84"/>
      <c r="I3" s="84"/>
      <c r="J3" s="84"/>
      <c r="K3" s="84"/>
      <c r="L3" s="85"/>
      <c r="M3" s="4"/>
    </row>
    <row r="4" spans="1:13" ht="15.75" customHeight="1">
      <c r="A4" s="8" t="s">
        <v>58</v>
      </c>
      <c r="B4" s="74" t="s">
        <v>59</v>
      </c>
      <c r="C4" s="74"/>
      <c r="D4" s="86" t="s">
        <v>60</v>
      </c>
      <c r="E4" s="86"/>
      <c r="F4" s="77" t="s">
        <v>61</v>
      </c>
      <c r="G4" s="77"/>
      <c r="H4" s="10" t="s">
        <v>62</v>
      </c>
      <c r="I4" s="11" t="s">
        <v>63</v>
      </c>
      <c r="J4" s="19" t="s">
        <v>64</v>
      </c>
      <c r="K4" s="80" t="s">
        <v>65</v>
      </c>
      <c r="L4" s="81" t="s">
        <v>66</v>
      </c>
      <c r="M4" s="4"/>
    </row>
    <row r="5" spans="1:13">
      <c r="A5" s="73" t="s">
        <v>58</v>
      </c>
      <c r="B5" s="74" t="s">
        <v>67</v>
      </c>
      <c r="C5" s="74" t="s">
        <v>1</v>
      </c>
      <c r="D5" s="86" t="s">
        <v>68</v>
      </c>
      <c r="E5" s="86"/>
      <c r="F5" s="75" t="s">
        <v>69</v>
      </c>
      <c r="G5" s="75"/>
      <c r="H5" s="78" t="s">
        <v>70</v>
      </c>
      <c r="I5" s="79" t="s">
        <v>71</v>
      </c>
      <c r="J5" s="76" t="s">
        <v>72</v>
      </c>
      <c r="K5" s="80"/>
      <c r="L5" s="81"/>
    </row>
    <row r="6" spans="1:13">
      <c r="A6" s="73"/>
      <c r="B6" s="74"/>
      <c r="C6" s="74"/>
      <c r="D6" s="18" t="s">
        <v>73</v>
      </c>
      <c r="E6" s="18" t="s">
        <v>1</v>
      </c>
      <c r="F6" s="7" t="s">
        <v>74</v>
      </c>
      <c r="G6" s="7" t="s">
        <v>1</v>
      </c>
      <c r="H6" s="78"/>
      <c r="I6" s="79"/>
      <c r="J6" s="76"/>
      <c r="K6" s="80"/>
      <c r="L6" s="81"/>
    </row>
    <row r="7" spans="1:13" ht="30.75">
      <c r="A7" s="46" t="s">
        <v>88</v>
      </c>
      <c r="B7" s="46" t="s">
        <v>245</v>
      </c>
      <c r="C7" s="46" t="s">
        <v>246</v>
      </c>
      <c r="D7" s="46" t="s">
        <v>247</v>
      </c>
      <c r="E7" s="46" t="s">
        <v>248</v>
      </c>
      <c r="F7" s="46" t="s">
        <v>249</v>
      </c>
      <c r="G7" s="46" t="s">
        <v>250</v>
      </c>
      <c r="H7" s="46"/>
      <c r="I7" s="46" t="s">
        <v>251</v>
      </c>
      <c r="J7" s="46" t="s">
        <v>252</v>
      </c>
      <c r="K7" s="46" t="s">
        <v>253</v>
      </c>
      <c r="L7" s="46" t="s">
        <v>254</v>
      </c>
    </row>
    <row r="8" spans="1:13" ht="30.75">
      <c r="A8" s="46" t="s">
        <v>88</v>
      </c>
      <c r="B8" s="46" t="s">
        <v>255</v>
      </c>
      <c r="C8" s="46" t="s">
        <v>256</v>
      </c>
      <c r="D8" s="46" t="s">
        <v>257</v>
      </c>
      <c r="E8" s="46" t="s">
        <v>258</v>
      </c>
      <c r="F8" s="46" t="s">
        <v>259</v>
      </c>
      <c r="G8" s="46" t="s">
        <v>260</v>
      </c>
      <c r="H8" s="46"/>
      <c r="I8" s="46" t="s">
        <v>261</v>
      </c>
      <c r="J8" s="46" t="s">
        <v>262</v>
      </c>
      <c r="K8" s="46" t="s">
        <v>251</v>
      </c>
      <c r="L8" s="46" t="s">
        <v>81</v>
      </c>
    </row>
    <row r="9" spans="1:13" ht="30.75">
      <c r="A9" s="46" t="s">
        <v>88</v>
      </c>
      <c r="B9" s="46" t="s">
        <v>263</v>
      </c>
      <c r="C9" s="46" t="s">
        <v>264</v>
      </c>
      <c r="D9" s="46" t="s">
        <v>265</v>
      </c>
      <c r="E9" s="46" t="s">
        <v>266</v>
      </c>
      <c r="F9" s="46" t="s">
        <v>267</v>
      </c>
      <c r="G9" s="46" t="s">
        <v>268</v>
      </c>
      <c r="H9" s="46"/>
      <c r="I9" s="46" t="s">
        <v>269</v>
      </c>
      <c r="J9" s="46"/>
      <c r="K9" s="46" t="s">
        <v>251</v>
      </c>
      <c r="L9" s="46" t="s">
        <v>255</v>
      </c>
    </row>
    <row r="10" spans="1:13">
      <c r="A10" s="46" t="s">
        <v>6</v>
      </c>
      <c r="B10" s="46" t="s">
        <v>270</v>
      </c>
      <c r="C10" s="46" t="s">
        <v>271</v>
      </c>
      <c r="D10" s="46" t="s">
        <v>265</v>
      </c>
      <c r="E10" s="46" t="s">
        <v>266</v>
      </c>
      <c r="F10" s="46" t="s">
        <v>272</v>
      </c>
      <c r="G10" s="46" t="s">
        <v>273</v>
      </c>
      <c r="H10" s="46"/>
      <c r="I10" s="46" t="s">
        <v>274</v>
      </c>
      <c r="J10" s="46"/>
      <c r="K10" s="46" t="s">
        <v>251</v>
      </c>
      <c r="L10" s="46" t="s">
        <v>255</v>
      </c>
    </row>
    <row r="14" spans="1:1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spans="1:13">
      <c r="A15"/>
      <c r="B15"/>
      <c r="C15"/>
      <c r="D15"/>
      <c r="E15"/>
      <c r="F15"/>
      <c r="G15"/>
      <c r="H15"/>
      <c r="I15"/>
      <c r="J15"/>
      <c r="K15"/>
      <c r="L15"/>
    </row>
    <row r="16" spans="1:13">
      <c r="A16"/>
      <c r="B16"/>
      <c r="C16"/>
      <c r="D16"/>
      <c r="E16"/>
      <c r="F16"/>
      <c r="G16"/>
      <c r="H16"/>
      <c r="I16"/>
      <c r="J16"/>
      <c r="K16"/>
      <c r="L16"/>
    </row>
  </sheetData>
  <mergeCells count="16">
    <mergeCell ref="J5:J6"/>
    <mergeCell ref="A1:M1"/>
    <mergeCell ref="B2:L2"/>
    <mergeCell ref="B3:L3"/>
    <mergeCell ref="B4:C4"/>
    <mergeCell ref="D4:E4"/>
    <mergeCell ref="F4:G4"/>
    <mergeCell ref="K4:K6"/>
    <mergeCell ref="L4:L6"/>
    <mergeCell ref="A5:A6"/>
    <mergeCell ref="B5:B6"/>
    <mergeCell ref="C5:C6"/>
    <mergeCell ref="D5:E5"/>
    <mergeCell ref="F5:G5"/>
    <mergeCell ref="H5:H6"/>
    <mergeCell ref="I5:I6"/>
  </mergeCells>
  <hyperlinks>
    <hyperlink ref="A1" location="'Objetos de Dominio'!A1" display="Volver al inicio" xr:uid="{6B614BC8-4398-46A7-8EF0-3ED6DF872D14}"/>
    <hyperlink ref="A1:M1" location="'Listado Objetos de Dominio'!A1" display="&lt;-Volver al inicio" xr:uid="{CDE31927-26C1-4F00-B273-7ECB238FF731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5DE6C-EB8D-45A0-8C49-FBB0078BF62D}">
  <dimension ref="A1:M16"/>
  <sheetViews>
    <sheetView workbookViewId="0">
      <pane ySplit="2" topLeftCell="A3" activePane="bottomLeft" state="frozen"/>
      <selection pane="bottomLeft" activeCell="D11" sqref="D11"/>
    </sheetView>
  </sheetViews>
  <sheetFormatPr defaultColWidth="11.42578125" defaultRowHeight="15"/>
  <cols>
    <col min="1" max="1" width="23.85546875" style="1" bestFit="1" customWidth="1"/>
    <col min="2" max="2" width="36.7109375" style="1" customWidth="1"/>
    <col min="3" max="3" width="61.140625" style="1" customWidth="1"/>
    <col min="4" max="4" width="31.7109375" style="1" customWidth="1"/>
    <col min="5" max="5" width="43.7109375" style="1" customWidth="1"/>
    <col min="6" max="6" width="38.42578125" style="1" customWidth="1"/>
    <col min="7" max="7" width="69.5703125" style="1" customWidth="1"/>
    <col min="8" max="8" width="37.5703125" style="1" customWidth="1"/>
    <col min="9" max="9" width="28.5703125" style="1" bestFit="1" customWidth="1"/>
    <col min="10" max="10" width="82.28515625" style="1" customWidth="1"/>
    <col min="11" max="11" width="51.28515625" style="1" customWidth="1"/>
    <col min="12" max="12" width="62.85546875" style="1" customWidth="1"/>
    <col min="13" max="13" width="19.28515625" style="1" bestFit="1" customWidth="1"/>
    <col min="14" max="14" width="132.5703125" style="1" bestFit="1" customWidth="1"/>
    <col min="15" max="15" width="46.42578125" style="1" bestFit="1" customWidth="1"/>
    <col min="16" max="16" width="50.140625" style="1" bestFit="1" customWidth="1"/>
    <col min="17" max="17" width="66.85546875" style="1" bestFit="1" customWidth="1"/>
    <col min="18" max="18" width="52.28515625" style="1" bestFit="1" customWidth="1"/>
    <col min="19" max="16384" width="11.42578125" style="1"/>
  </cols>
  <sheetData>
    <row r="1" spans="1:13" ht="15.75" customHeight="1" thickBot="1">
      <c r="A1" s="89" t="s">
        <v>55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3" ht="25.5" customHeight="1">
      <c r="A2" s="5" t="s">
        <v>56</v>
      </c>
      <c r="B2" s="82" t="str">
        <f>'Listado Objetos de Dominio'!$A$8</f>
        <v>Información de interes</v>
      </c>
      <c r="C2" s="82"/>
      <c r="D2" s="82"/>
      <c r="E2" s="82"/>
      <c r="F2" s="82"/>
      <c r="G2" s="82"/>
      <c r="H2" s="82"/>
      <c r="I2" s="82"/>
      <c r="J2" s="82"/>
      <c r="K2" s="82"/>
      <c r="L2" s="83"/>
      <c r="M2" s="3"/>
    </row>
    <row r="3" spans="1:13" ht="29.25" customHeight="1">
      <c r="A3" s="6" t="s">
        <v>57</v>
      </c>
      <c r="B3" s="84" t="str">
        <f>'Listado Objetos de Dominio'!$B$8</f>
        <v>Hace referencia a la información relevante sobre el perfil y finalidad del cliente en relación con los productos, incluyendo el uso previsto y su rol dentro del sector, como constructor, contratista, revendedor, entre otros</v>
      </c>
      <c r="C3" s="84"/>
      <c r="D3" s="84"/>
      <c r="E3" s="84"/>
      <c r="F3" s="84"/>
      <c r="G3" s="84"/>
      <c r="H3" s="84"/>
      <c r="I3" s="84"/>
      <c r="J3" s="84"/>
      <c r="K3" s="84"/>
      <c r="L3" s="85"/>
      <c r="M3" s="4"/>
    </row>
    <row r="4" spans="1:13" ht="15.75" customHeight="1">
      <c r="A4" s="8" t="s">
        <v>58</v>
      </c>
      <c r="B4" s="74" t="s">
        <v>59</v>
      </c>
      <c r="C4" s="74"/>
      <c r="D4" s="86" t="s">
        <v>60</v>
      </c>
      <c r="E4" s="86"/>
      <c r="F4" s="77" t="s">
        <v>61</v>
      </c>
      <c r="G4" s="77"/>
      <c r="H4" s="10" t="s">
        <v>62</v>
      </c>
      <c r="I4" s="11" t="s">
        <v>63</v>
      </c>
      <c r="J4" s="19" t="s">
        <v>64</v>
      </c>
      <c r="K4" s="80" t="s">
        <v>65</v>
      </c>
      <c r="L4" s="81" t="s">
        <v>66</v>
      </c>
      <c r="M4" s="4"/>
    </row>
    <row r="5" spans="1:13">
      <c r="A5" s="73" t="s">
        <v>58</v>
      </c>
      <c r="B5" s="74" t="s">
        <v>67</v>
      </c>
      <c r="C5" s="74" t="s">
        <v>1</v>
      </c>
      <c r="D5" s="86" t="s">
        <v>68</v>
      </c>
      <c r="E5" s="86"/>
      <c r="F5" s="75" t="s">
        <v>69</v>
      </c>
      <c r="G5" s="75"/>
      <c r="H5" s="78" t="s">
        <v>70</v>
      </c>
      <c r="I5" s="79" t="s">
        <v>71</v>
      </c>
      <c r="J5" s="76" t="s">
        <v>72</v>
      </c>
      <c r="K5" s="80"/>
      <c r="L5" s="81"/>
    </row>
    <row r="6" spans="1:13">
      <c r="A6" s="73"/>
      <c r="B6" s="74"/>
      <c r="C6" s="74"/>
      <c r="D6" s="18" t="s">
        <v>73</v>
      </c>
      <c r="E6" s="18" t="s">
        <v>1</v>
      </c>
      <c r="F6" s="7" t="s">
        <v>74</v>
      </c>
      <c r="G6" s="7" t="s">
        <v>1</v>
      </c>
      <c r="H6" s="78"/>
      <c r="I6" s="79"/>
      <c r="J6" s="76"/>
      <c r="K6" s="80"/>
      <c r="L6" s="81"/>
    </row>
    <row r="7" spans="1:13" ht="30.75">
      <c r="A7" s="46" t="s">
        <v>88</v>
      </c>
      <c r="B7" s="46" t="s">
        <v>275</v>
      </c>
      <c r="C7" s="46" t="s">
        <v>276</v>
      </c>
      <c r="D7" s="46" t="s">
        <v>277</v>
      </c>
      <c r="E7" s="46" t="s">
        <v>278</v>
      </c>
      <c r="F7" s="46" t="s">
        <v>279</v>
      </c>
      <c r="G7" s="46" t="s">
        <v>280</v>
      </c>
      <c r="H7" s="46"/>
      <c r="I7" s="46" t="s">
        <v>281</v>
      </c>
      <c r="J7" s="46" t="s">
        <v>282</v>
      </c>
      <c r="K7" s="46" t="s">
        <v>225</v>
      </c>
      <c r="L7" s="46" t="s">
        <v>283</v>
      </c>
    </row>
    <row r="8" spans="1:13" ht="30.75">
      <c r="A8" s="118" t="s">
        <v>88</v>
      </c>
      <c r="B8" s="46" t="s">
        <v>284</v>
      </c>
      <c r="C8" s="46" t="s">
        <v>285</v>
      </c>
      <c r="D8" s="46" t="s">
        <v>286</v>
      </c>
      <c r="E8" s="46" t="s">
        <v>287</v>
      </c>
      <c r="F8" s="46" t="s">
        <v>288</v>
      </c>
      <c r="G8" s="46" t="s">
        <v>289</v>
      </c>
      <c r="H8" s="46"/>
      <c r="I8" s="46" t="s">
        <v>290</v>
      </c>
      <c r="J8" s="46" t="s">
        <v>235</v>
      </c>
      <c r="K8" s="46" t="s">
        <v>275</v>
      </c>
      <c r="L8" s="46" t="s">
        <v>291</v>
      </c>
    </row>
    <row r="9" spans="1:13" ht="30.75">
      <c r="A9" s="46" t="s">
        <v>88</v>
      </c>
      <c r="B9" s="46" t="s">
        <v>292</v>
      </c>
      <c r="C9" s="46" t="s">
        <v>293</v>
      </c>
      <c r="D9" s="46" t="s">
        <v>294</v>
      </c>
      <c r="E9" s="46" t="s">
        <v>295</v>
      </c>
      <c r="F9" s="46" t="s">
        <v>296</v>
      </c>
      <c r="G9" s="46" t="s">
        <v>297</v>
      </c>
      <c r="H9" s="46"/>
      <c r="I9" s="46" t="s">
        <v>298</v>
      </c>
      <c r="J9" s="46" t="s">
        <v>299</v>
      </c>
      <c r="K9" s="46" t="s">
        <v>300</v>
      </c>
      <c r="L9" s="46" t="s">
        <v>81</v>
      </c>
    </row>
    <row r="10" spans="1:13" ht="15.75" thickBot="1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7"/>
    </row>
    <row r="14" spans="1:1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spans="1:13">
      <c r="A15"/>
      <c r="B15"/>
      <c r="C15"/>
      <c r="D15"/>
      <c r="E15"/>
      <c r="F15"/>
      <c r="G15"/>
      <c r="H15"/>
      <c r="I15"/>
      <c r="J15"/>
      <c r="K15"/>
      <c r="L15"/>
    </row>
    <row r="16" spans="1:13">
      <c r="A16"/>
      <c r="B16"/>
      <c r="C16"/>
      <c r="D16"/>
      <c r="E16"/>
      <c r="F16"/>
      <c r="G16"/>
      <c r="H16"/>
      <c r="I16"/>
      <c r="J16"/>
      <c r="K16"/>
      <c r="L16"/>
    </row>
  </sheetData>
  <mergeCells count="16">
    <mergeCell ref="J5:J6"/>
    <mergeCell ref="A1:M1"/>
    <mergeCell ref="B2:L2"/>
    <mergeCell ref="B3:L3"/>
    <mergeCell ref="B4:C4"/>
    <mergeCell ref="D4:E4"/>
    <mergeCell ref="F4:G4"/>
    <mergeCell ref="K4:K6"/>
    <mergeCell ref="L4:L6"/>
    <mergeCell ref="A5:A6"/>
    <mergeCell ref="B5:B6"/>
    <mergeCell ref="C5:C6"/>
    <mergeCell ref="D5:E5"/>
    <mergeCell ref="F5:G5"/>
    <mergeCell ref="H5:H6"/>
    <mergeCell ref="I5:I6"/>
  </mergeCells>
  <hyperlinks>
    <hyperlink ref="A1" location="'Objetos de Dominio'!A1" display="Volver al inicio" xr:uid="{6C820B9D-F9B2-45B8-B2FE-711FF0270099}"/>
    <hyperlink ref="A1:M1" location="'Listado Objetos de Dominio'!A1" display="&lt;-Volver al inicio" xr:uid="{61249B55-4D16-4306-9EA0-8FAD4C60B4D3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D1981-F0BC-42C5-AE52-D863BDDEEDAE}">
  <dimension ref="A1:M20"/>
  <sheetViews>
    <sheetView workbookViewId="0">
      <pane ySplit="2" topLeftCell="A7" activePane="bottomLeft" state="frozen"/>
      <selection pane="bottomLeft" activeCell="B16" sqref="B16"/>
    </sheetView>
  </sheetViews>
  <sheetFormatPr defaultColWidth="11.42578125" defaultRowHeight="15"/>
  <cols>
    <col min="1" max="1" width="23.85546875" style="1" bestFit="1" customWidth="1"/>
    <col min="2" max="2" width="36.7109375" style="1" customWidth="1"/>
    <col min="3" max="3" width="61.140625" style="1" customWidth="1"/>
    <col min="4" max="4" width="31.7109375" style="1" customWidth="1"/>
    <col min="5" max="5" width="63.7109375" style="1" customWidth="1"/>
    <col min="6" max="6" width="38.42578125" style="1" customWidth="1"/>
    <col min="7" max="7" width="69.5703125" style="1" customWidth="1"/>
    <col min="8" max="8" width="37.5703125" style="1" customWidth="1"/>
    <col min="9" max="9" width="28.5703125" style="1" bestFit="1" customWidth="1"/>
    <col min="10" max="10" width="82.28515625" style="1" customWidth="1"/>
    <col min="11" max="11" width="51.28515625" style="1" customWidth="1"/>
    <col min="12" max="12" width="62.85546875" style="1" customWidth="1"/>
    <col min="13" max="13" width="19.28515625" style="1" bestFit="1" customWidth="1"/>
    <col min="14" max="14" width="132.5703125" style="1" bestFit="1" customWidth="1"/>
    <col min="15" max="15" width="46.42578125" style="1" bestFit="1" customWidth="1"/>
    <col min="16" max="16" width="50.140625" style="1" bestFit="1" customWidth="1"/>
    <col min="17" max="17" width="66.85546875" style="1" bestFit="1" customWidth="1"/>
    <col min="18" max="18" width="52.28515625" style="1" bestFit="1" customWidth="1"/>
    <col min="19" max="16384" width="11.42578125" style="1"/>
  </cols>
  <sheetData>
    <row r="1" spans="1:13" ht="15.75" customHeight="1" thickBot="1">
      <c r="A1" s="89" t="s">
        <v>55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3" ht="25.5" customHeight="1">
      <c r="A2" s="5" t="s">
        <v>56</v>
      </c>
      <c r="B2" s="82" t="str">
        <f>'Listado Objetos de Dominio'!$A$10</f>
        <v>Producto</v>
      </c>
      <c r="C2" s="82"/>
      <c r="D2" s="82"/>
      <c r="E2" s="82"/>
      <c r="F2" s="82"/>
      <c r="G2" s="82"/>
      <c r="H2" s="82"/>
      <c r="I2" s="82"/>
      <c r="J2" s="82"/>
      <c r="K2" s="82"/>
      <c r="L2" s="83"/>
      <c r="M2" s="3"/>
    </row>
    <row r="3" spans="1:13" ht="29.25" customHeight="1">
      <c r="A3" s="6" t="s">
        <v>57</v>
      </c>
      <c r="B3" s="84" t="str">
        <f>'Listado Objetos de Dominio'!$B$10</f>
        <v>Definición de cada artículo que el negocio ofrece a sus clientes.</v>
      </c>
      <c r="C3" s="84"/>
      <c r="D3" s="84"/>
      <c r="E3" s="84"/>
      <c r="F3" s="84"/>
      <c r="G3" s="84"/>
      <c r="H3" s="84"/>
      <c r="I3" s="84"/>
      <c r="J3" s="84"/>
      <c r="K3" s="84"/>
      <c r="L3" s="85"/>
      <c r="M3" s="4"/>
    </row>
    <row r="4" spans="1:13" ht="15.75" customHeight="1">
      <c r="A4" s="8" t="s">
        <v>58</v>
      </c>
      <c r="B4" s="74" t="s">
        <v>59</v>
      </c>
      <c r="C4" s="74"/>
      <c r="D4" s="86" t="s">
        <v>60</v>
      </c>
      <c r="E4" s="86"/>
      <c r="F4" s="77" t="s">
        <v>61</v>
      </c>
      <c r="G4" s="77"/>
      <c r="H4" s="10" t="s">
        <v>62</v>
      </c>
      <c r="I4" s="11" t="s">
        <v>63</v>
      </c>
      <c r="J4" s="19" t="s">
        <v>64</v>
      </c>
      <c r="K4" s="80" t="s">
        <v>65</v>
      </c>
      <c r="L4" s="81" t="s">
        <v>66</v>
      </c>
      <c r="M4" s="4"/>
    </row>
    <row r="5" spans="1:13">
      <c r="A5" s="73" t="s">
        <v>58</v>
      </c>
      <c r="B5" s="74" t="s">
        <v>67</v>
      </c>
      <c r="C5" s="74" t="s">
        <v>1</v>
      </c>
      <c r="D5" s="86" t="s">
        <v>68</v>
      </c>
      <c r="E5" s="86"/>
      <c r="F5" s="75" t="s">
        <v>69</v>
      </c>
      <c r="G5" s="75"/>
      <c r="H5" s="78" t="s">
        <v>70</v>
      </c>
      <c r="I5" s="79" t="s">
        <v>71</v>
      </c>
      <c r="J5" s="76" t="s">
        <v>72</v>
      </c>
      <c r="K5" s="80"/>
      <c r="L5" s="81"/>
    </row>
    <row r="6" spans="1:13">
      <c r="A6" s="73"/>
      <c r="B6" s="74"/>
      <c r="C6" s="74"/>
      <c r="D6" s="18" t="s">
        <v>73</v>
      </c>
      <c r="E6" s="18" t="s">
        <v>1</v>
      </c>
      <c r="F6" s="7" t="s">
        <v>74</v>
      </c>
      <c r="G6" s="7" t="s">
        <v>1</v>
      </c>
      <c r="H6" s="78"/>
      <c r="I6" s="79"/>
      <c r="J6" s="76"/>
      <c r="K6" s="80"/>
      <c r="L6" s="81"/>
    </row>
    <row r="7" spans="1:13" ht="30.75">
      <c r="A7" s="46" t="s">
        <v>6</v>
      </c>
      <c r="B7" s="46" t="s">
        <v>301</v>
      </c>
      <c r="C7" s="46" t="s">
        <v>302</v>
      </c>
      <c r="D7" s="46" t="s">
        <v>303</v>
      </c>
      <c r="E7" s="46" t="s">
        <v>304</v>
      </c>
      <c r="F7" s="46" t="s">
        <v>249</v>
      </c>
      <c r="G7" s="46" t="s">
        <v>305</v>
      </c>
      <c r="H7" s="46" t="s">
        <v>306</v>
      </c>
      <c r="I7" s="46" t="s">
        <v>307</v>
      </c>
      <c r="J7" s="46" t="s">
        <v>308</v>
      </c>
      <c r="K7" s="46" t="s">
        <v>81</v>
      </c>
      <c r="L7" s="46" t="s">
        <v>309</v>
      </c>
    </row>
    <row r="8" spans="1:13" ht="30.75">
      <c r="A8" s="46" t="s">
        <v>6</v>
      </c>
      <c r="B8" s="46" t="s">
        <v>310</v>
      </c>
      <c r="C8" s="46" t="s">
        <v>311</v>
      </c>
      <c r="D8" s="46" t="s">
        <v>312</v>
      </c>
      <c r="E8" s="46" t="s">
        <v>313</v>
      </c>
      <c r="F8" s="46" t="s">
        <v>259</v>
      </c>
      <c r="G8" s="46" t="s">
        <v>314</v>
      </c>
      <c r="H8" s="46" t="s">
        <v>306</v>
      </c>
      <c r="I8" s="46" t="s">
        <v>315</v>
      </c>
      <c r="J8" s="46" t="s">
        <v>316</v>
      </c>
      <c r="K8" s="46" t="s">
        <v>307</v>
      </c>
      <c r="L8" s="46" t="s">
        <v>317</v>
      </c>
    </row>
    <row r="9" spans="1:13" ht="30.75">
      <c r="A9" s="46" t="s">
        <v>6</v>
      </c>
      <c r="B9" s="46" t="s">
        <v>318</v>
      </c>
      <c r="C9" s="46" t="s">
        <v>319</v>
      </c>
      <c r="D9" s="46" t="s">
        <v>320</v>
      </c>
      <c r="E9" s="46" t="s">
        <v>321</v>
      </c>
      <c r="F9" s="46" t="s">
        <v>267</v>
      </c>
      <c r="G9" s="46"/>
      <c r="H9" s="46" t="s">
        <v>306</v>
      </c>
      <c r="I9" s="46" t="s">
        <v>322</v>
      </c>
      <c r="J9" s="46"/>
      <c r="K9" s="46" t="s">
        <v>307</v>
      </c>
      <c r="L9" s="46" t="s">
        <v>323</v>
      </c>
    </row>
    <row r="10" spans="1:13" ht="30.75">
      <c r="A10" s="46" t="s">
        <v>88</v>
      </c>
      <c r="B10" s="46" t="s">
        <v>324</v>
      </c>
      <c r="C10" s="46" t="s">
        <v>325</v>
      </c>
      <c r="D10" s="46" t="s">
        <v>320</v>
      </c>
      <c r="E10" s="46" t="s">
        <v>326</v>
      </c>
      <c r="F10" s="46" t="s">
        <v>272</v>
      </c>
      <c r="G10" s="46" t="s">
        <v>327</v>
      </c>
      <c r="H10" s="46" t="s">
        <v>306</v>
      </c>
      <c r="I10" s="46" t="s">
        <v>328</v>
      </c>
      <c r="J10" s="46" t="s">
        <v>329</v>
      </c>
      <c r="K10" s="46" t="s">
        <v>307</v>
      </c>
      <c r="L10" s="46" t="s">
        <v>330</v>
      </c>
    </row>
    <row r="11" spans="1:13" ht="30.75">
      <c r="A11" s="46" t="s">
        <v>88</v>
      </c>
      <c r="B11" s="46" t="s">
        <v>331</v>
      </c>
      <c r="C11" s="46" t="s">
        <v>332</v>
      </c>
      <c r="D11" s="46" t="s">
        <v>333</v>
      </c>
      <c r="E11" s="46" t="s">
        <v>334</v>
      </c>
      <c r="F11" s="46" t="s">
        <v>335</v>
      </c>
      <c r="G11" s="46" t="s">
        <v>336</v>
      </c>
      <c r="H11" s="46" t="s">
        <v>306</v>
      </c>
      <c r="I11" s="46" t="s">
        <v>337</v>
      </c>
      <c r="J11" s="46" t="s">
        <v>338</v>
      </c>
      <c r="K11" s="46" t="s">
        <v>339</v>
      </c>
      <c r="L11" s="46" t="s">
        <v>340</v>
      </c>
    </row>
    <row r="13" spans="1: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4" spans="1:13" ht="14.25" customHeight="1">
      <c r="A14"/>
      <c r="B14"/>
      <c r="C14"/>
      <c r="D14"/>
      <c r="E14"/>
      <c r="F14"/>
      <c r="G14"/>
      <c r="H14"/>
      <c r="I14"/>
      <c r="J14"/>
      <c r="K14"/>
      <c r="L14"/>
    </row>
    <row r="15" spans="1:13">
      <c r="A15"/>
      <c r="B15"/>
      <c r="C15"/>
      <c r="D15"/>
      <c r="E15"/>
      <c r="F15"/>
      <c r="G15"/>
      <c r="H15"/>
      <c r="I15"/>
      <c r="J15"/>
      <c r="K15"/>
      <c r="L15"/>
    </row>
    <row r="16" spans="1:13">
      <c r="A16"/>
      <c r="B16"/>
      <c r="C16"/>
      <c r="D16"/>
      <c r="E16"/>
      <c r="F16"/>
      <c r="G16"/>
      <c r="H16"/>
      <c r="I16"/>
      <c r="J16"/>
      <c r="K16"/>
      <c r="L16"/>
    </row>
    <row r="17" spans="1:12">
      <c r="A17"/>
      <c r="B17"/>
      <c r="C17"/>
      <c r="D17"/>
      <c r="E17"/>
      <c r="F17"/>
      <c r="G17"/>
      <c r="H17"/>
      <c r="I17"/>
      <c r="J17"/>
      <c r="K17"/>
      <c r="L17"/>
    </row>
    <row r="18" spans="1:12">
      <c r="A18"/>
      <c r="B18"/>
      <c r="C18"/>
      <c r="D18"/>
      <c r="E18"/>
      <c r="F18"/>
      <c r="G18"/>
      <c r="H18"/>
      <c r="I18"/>
      <c r="J18"/>
      <c r="K18"/>
      <c r="L18"/>
    </row>
    <row r="19" spans="1:12">
      <c r="A19"/>
      <c r="B19"/>
      <c r="C19"/>
      <c r="D19"/>
      <c r="E19"/>
      <c r="F19"/>
      <c r="G19"/>
      <c r="H19"/>
      <c r="I19"/>
      <c r="J19"/>
      <c r="K19"/>
      <c r="L19"/>
    </row>
    <row r="20" spans="1:12">
      <c r="A20"/>
      <c r="B20"/>
      <c r="C20"/>
      <c r="D20"/>
      <c r="E20"/>
      <c r="F20"/>
      <c r="G20"/>
      <c r="H20"/>
      <c r="I20"/>
      <c r="J20"/>
      <c r="K20"/>
      <c r="L20"/>
    </row>
  </sheetData>
  <mergeCells count="16">
    <mergeCell ref="J5:J6"/>
    <mergeCell ref="A1:M1"/>
    <mergeCell ref="B2:L2"/>
    <mergeCell ref="B3:L3"/>
    <mergeCell ref="B4:C4"/>
    <mergeCell ref="D4:E4"/>
    <mergeCell ref="F4:G4"/>
    <mergeCell ref="K4:K6"/>
    <mergeCell ref="L4:L6"/>
    <mergeCell ref="A5:A6"/>
    <mergeCell ref="B5:B6"/>
    <mergeCell ref="C5:C6"/>
    <mergeCell ref="D5:E5"/>
    <mergeCell ref="F5:G5"/>
    <mergeCell ref="H5:H6"/>
    <mergeCell ref="I5:I6"/>
  </mergeCells>
  <hyperlinks>
    <hyperlink ref="A1" location="'Objetos de Dominio'!A1" display="Volver al inicio" xr:uid="{9CAE2300-35D5-4280-A702-5B10A57243AB}"/>
    <hyperlink ref="A1:M1" location="'Listado Objetos de Dominio'!A1" display="&lt;-Volver al inicio" xr:uid="{1C9AF595-321F-415C-BAA7-ABE6CDFD0BD2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C3010-B5BF-43B6-AFC4-81C64F68262B}">
  <dimension ref="A1:M16"/>
  <sheetViews>
    <sheetView topLeftCell="G1" workbookViewId="0">
      <pane ySplit="2" topLeftCell="A3" activePane="bottomLeft" state="frozen"/>
      <selection pane="bottomLeft" activeCell="A10" sqref="A10"/>
    </sheetView>
  </sheetViews>
  <sheetFormatPr defaultColWidth="11.42578125" defaultRowHeight="15"/>
  <cols>
    <col min="1" max="1" width="23.85546875" style="1" bestFit="1" customWidth="1"/>
    <col min="2" max="2" width="36.7109375" style="1" customWidth="1"/>
    <col min="3" max="3" width="61.140625" style="1" customWidth="1"/>
    <col min="4" max="4" width="31.7109375" style="1" customWidth="1"/>
    <col min="5" max="5" width="69.28515625" style="1" customWidth="1"/>
    <col min="6" max="6" width="38.42578125" style="1" customWidth="1"/>
    <col min="7" max="7" width="69.5703125" style="1" customWidth="1"/>
    <col min="8" max="8" width="37.5703125" style="1" customWidth="1"/>
    <col min="9" max="9" width="28.5703125" style="1" bestFit="1" customWidth="1"/>
    <col min="10" max="10" width="82.28515625" style="1" customWidth="1"/>
    <col min="11" max="11" width="51.28515625" style="1" customWidth="1"/>
    <col min="12" max="12" width="62.85546875" style="1" customWidth="1"/>
    <col min="13" max="13" width="19.28515625" style="1" bestFit="1" customWidth="1"/>
    <col min="14" max="14" width="132.5703125" style="1" bestFit="1" customWidth="1"/>
    <col min="15" max="15" width="46.42578125" style="1" bestFit="1" customWidth="1"/>
    <col min="16" max="16" width="50.140625" style="1" bestFit="1" customWidth="1"/>
    <col min="17" max="17" width="66.85546875" style="1" bestFit="1" customWidth="1"/>
    <col min="18" max="18" width="52.28515625" style="1" bestFit="1" customWidth="1"/>
    <col min="19" max="16384" width="11.42578125" style="1"/>
  </cols>
  <sheetData>
    <row r="1" spans="1:13" ht="15.75" customHeight="1" thickBot="1">
      <c r="A1" s="89" t="s">
        <v>55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3" ht="25.5" customHeight="1">
      <c r="A2" s="5" t="s">
        <v>56</v>
      </c>
      <c r="B2" s="82" t="str">
        <f>'Listado Objetos de Dominio'!$A$12</f>
        <v>Estado Producto</v>
      </c>
      <c r="C2" s="82"/>
      <c r="D2" s="82"/>
      <c r="E2" s="82"/>
      <c r="F2" s="82"/>
      <c r="G2" s="82"/>
      <c r="H2" s="82"/>
      <c r="I2" s="82"/>
      <c r="J2" s="82"/>
      <c r="K2" s="82"/>
      <c r="L2" s="83"/>
      <c r="M2" s="3"/>
    </row>
    <row r="3" spans="1:13" ht="29.25" customHeight="1">
      <c r="A3" s="6" t="s">
        <v>57</v>
      </c>
      <c r="B3" s="84" t="str">
        <f>'Listado Objetos de Dominio'!$B$12</f>
        <v>Corresponde a cada uno de los tipos de estados que puede tener un producto.</v>
      </c>
      <c r="C3" s="84"/>
      <c r="D3" s="84"/>
      <c r="E3" s="84"/>
      <c r="F3" s="84"/>
      <c r="G3" s="84"/>
      <c r="H3" s="84"/>
      <c r="I3" s="84"/>
      <c r="J3" s="84"/>
      <c r="K3" s="84"/>
      <c r="L3" s="85"/>
      <c r="M3" s="4"/>
    </row>
    <row r="4" spans="1:13" ht="15.75" customHeight="1">
      <c r="A4" s="8" t="s">
        <v>58</v>
      </c>
      <c r="B4" s="74" t="s">
        <v>59</v>
      </c>
      <c r="C4" s="74"/>
      <c r="D4" s="86" t="s">
        <v>60</v>
      </c>
      <c r="E4" s="86"/>
      <c r="F4" s="77" t="s">
        <v>61</v>
      </c>
      <c r="G4" s="77"/>
      <c r="H4" s="10" t="s">
        <v>62</v>
      </c>
      <c r="I4" s="11" t="s">
        <v>63</v>
      </c>
      <c r="J4" s="19" t="s">
        <v>64</v>
      </c>
      <c r="K4" s="80" t="s">
        <v>65</v>
      </c>
      <c r="L4" s="81" t="s">
        <v>66</v>
      </c>
      <c r="M4" s="4"/>
    </row>
    <row r="5" spans="1:13">
      <c r="A5" s="73" t="s">
        <v>58</v>
      </c>
      <c r="B5" s="74" t="s">
        <v>67</v>
      </c>
      <c r="C5" s="74" t="s">
        <v>1</v>
      </c>
      <c r="D5" s="86" t="s">
        <v>68</v>
      </c>
      <c r="E5" s="86"/>
      <c r="F5" s="75" t="s">
        <v>69</v>
      </c>
      <c r="G5" s="75"/>
      <c r="H5" s="78" t="s">
        <v>70</v>
      </c>
      <c r="I5" s="79" t="s">
        <v>71</v>
      </c>
      <c r="J5" s="76" t="s">
        <v>72</v>
      </c>
      <c r="K5" s="80"/>
      <c r="L5" s="81"/>
    </row>
    <row r="6" spans="1:13">
      <c r="A6" s="73"/>
      <c r="B6" s="74"/>
      <c r="C6" s="74"/>
      <c r="D6" s="18" t="s">
        <v>73</v>
      </c>
      <c r="E6" s="18" t="s">
        <v>1</v>
      </c>
      <c r="F6" s="7" t="s">
        <v>74</v>
      </c>
      <c r="G6" s="7" t="s">
        <v>1</v>
      </c>
      <c r="H6" s="78"/>
      <c r="I6" s="79"/>
      <c r="J6" s="76"/>
      <c r="K6" s="80"/>
      <c r="L6" s="81"/>
    </row>
    <row r="7" spans="1:13" ht="30.75">
      <c r="A7" s="57" t="s">
        <v>88</v>
      </c>
      <c r="B7" s="58" t="s">
        <v>341</v>
      </c>
      <c r="C7" s="58" t="s">
        <v>342</v>
      </c>
      <c r="D7" s="58" t="s">
        <v>343</v>
      </c>
      <c r="E7" s="58" t="s">
        <v>343</v>
      </c>
      <c r="F7" s="58" t="s">
        <v>344</v>
      </c>
      <c r="G7" s="58" t="s">
        <v>345</v>
      </c>
      <c r="H7" s="58"/>
      <c r="I7" s="58" t="s">
        <v>346</v>
      </c>
      <c r="J7" s="58" t="s">
        <v>347</v>
      </c>
      <c r="K7" s="58" t="s">
        <v>343</v>
      </c>
      <c r="L7" s="59" t="s">
        <v>81</v>
      </c>
    </row>
    <row r="10" spans="1:1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</row>
    <row r="11" spans="1:1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</row>
    <row r="12" spans="1:13">
      <c r="A12"/>
      <c r="B12"/>
      <c r="C12"/>
      <c r="D12"/>
      <c r="E12"/>
      <c r="F12"/>
      <c r="G12"/>
      <c r="H12"/>
      <c r="I12"/>
      <c r="J12"/>
      <c r="K12"/>
      <c r="L12"/>
    </row>
    <row r="13" spans="1:13">
      <c r="A13"/>
      <c r="B13"/>
      <c r="C13"/>
      <c r="D13"/>
      <c r="E13"/>
      <c r="F13"/>
      <c r="G13"/>
      <c r="H13"/>
      <c r="I13"/>
      <c r="J13"/>
      <c r="K13"/>
      <c r="L13"/>
    </row>
    <row r="14" spans="1:13">
      <c r="A14"/>
      <c r="B14"/>
      <c r="C14"/>
      <c r="D14"/>
      <c r="E14"/>
      <c r="F14"/>
      <c r="G14"/>
      <c r="H14"/>
      <c r="I14"/>
      <c r="J14"/>
      <c r="K14"/>
      <c r="L14"/>
    </row>
    <row r="15" spans="1:13">
      <c r="A15"/>
      <c r="B15"/>
      <c r="C15"/>
      <c r="D15"/>
      <c r="E15"/>
      <c r="F15"/>
      <c r="G15"/>
      <c r="H15"/>
      <c r="I15"/>
      <c r="J15"/>
      <c r="K15"/>
      <c r="L15"/>
    </row>
    <row r="16" spans="1:13">
      <c r="A16"/>
      <c r="B16"/>
      <c r="C16"/>
      <c r="D16"/>
      <c r="E16"/>
      <c r="F16"/>
      <c r="G16"/>
      <c r="H16"/>
      <c r="I16"/>
      <c r="J16"/>
      <c r="K16"/>
      <c r="L16"/>
    </row>
  </sheetData>
  <mergeCells count="16">
    <mergeCell ref="J5:J6"/>
    <mergeCell ref="A1:M1"/>
    <mergeCell ref="B2:L2"/>
    <mergeCell ref="B3:L3"/>
    <mergeCell ref="B4:C4"/>
    <mergeCell ref="D4:E4"/>
    <mergeCell ref="F4:G4"/>
    <mergeCell ref="K4:K6"/>
    <mergeCell ref="L4:L6"/>
    <mergeCell ref="A5:A6"/>
    <mergeCell ref="B5:B6"/>
    <mergeCell ref="C5:C6"/>
    <mergeCell ref="D5:E5"/>
    <mergeCell ref="F5:G5"/>
    <mergeCell ref="H5:H6"/>
    <mergeCell ref="I5:I6"/>
  </mergeCells>
  <hyperlinks>
    <hyperlink ref="A1" location="'Objetos de Dominio'!A1" display="Volver al inicio" xr:uid="{587FCE40-3709-4442-9446-DEC85DCD115F}"/>
    <hyperlink ref="A1:M1" location="'Listado Objetos de Dominio'!A1" display="&lt;-Volver al inicio" xr:uid="{A33BAE5E-DE45-4603-89E8-92C7288A834E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B475-E047-4173-B6A1-84667EC82AFF}">
  <dimension ref="A1:M14"/>
  <sheetViews>
    <sheetView workbookViewId="0">
      <pane ySplit="2" topLeftCell="A7" activePane="bottomLeft" state="frozen"/>
      <selection pane="bottomLeft" activeCell="A10" sqref="A10:XFD10"/>
    </sheetView>
  </sheetViews>
  <sheetFormatPr defaultColWidth="11.42578125" defaultRowHeight="15"/>
  <cols>
    <col min="1" max="1" width="23.85546875" style="1" bestFit="1" customWidth="1"/>
    <col min="2" max="2" width="36.7109375" style="1" customWidth="1"/>
    <col min="3" max="3" width="61.140625" style="1" customWidth="1"/>
    <col min="4" max="4" width="31.7109375" style="1" customWidth="1"/>
    <col min="5" max="5" width="69.28515625" style="1" customWidth="1"/>
    <col min="6" max="6" width="38.42578125" style="1" customWidth="1"/>
    <col min="7" max="7" width="69.5703125" style="1" customWidth="1"/>
    <col min="8" max="8" width="37.5703125" style="1" customWidth="1"/>
    <col min="9" max="9" width="28.5703125" style="1" bestFit="1" customWidth="1"/>
    <col min="10" max="10" width="82.28515625" style="1" customWidth="1"/>
    <col min="11" max="11" width="51.28515625" style="1" customWidth="1"/>
    <col min="12" max="12" width="62.85546875" style="1" customWidth="1"/>
    <col min="13" max="13" width="19.28515625" style="1" bestFit="1" customWidth="1"/>
    <col min="14" max="14" width="132.5703125" style="1" bestFit="1" customWidth="1"/>
    <col min="15" max="15" width="46.42578125" style="1" bestFit="1" customWidth="1"/>
    <col min="16" max="16" width="50.140625" style="1" bestFit="1" customWidth="1"/>
    <col min="17" max="17" width="66.85546875" style="1" bestFit="1" customWidth="1"/>
    <col min="18" max="18" width="52.28515625" style="1" bestFit="1" customWidth="1"/>
    <col min="19" max="16384" width="11.42578125" style="1"/>
  </cols>
  <sheetData>
    <row r="1" spans="1:13" ht="15.75" customHeight="1" thickBot="1">
      <c r="A1" s="89" t="s">
        <v>55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3" ht="25.5" customHeight="1">
      <c r="A2" s="5" t="s">
        <v>56</v>
      </c>
      <c r="B2" s="82" t="str">
        <f>'Listado Objetos de Dominio'!$A$11</f>
        <v>Venta</v>
      </c>
      <c r="C2" s="82"/>
      <c r="D2" s="82"/>
      <c r="E2" s="82"/>
      <c r="F2" s="82"/>
      <c r="G2" s="82"/>
      <c r="H2" s="82"/>
      <c r="I2" s="82"/>
      <c r="J2" s="82"/>
      <c r="K2" s="82"/>
      <c r="L2" s="83"/>
      <c r="M2" s="3"/>
    </row>
    <row r="3" spans="1:13" ht="29.25" customHeight="1">
      <c r="A3" s="6" t="s">
        <v>57</v>
      </c>
      <c r="B3" s="84" t="str">
        <f>'Listado Objetos de Dominio'!$B$11</f>
        <v>Corresponde a la transaccion comercial en la que un cliente adquiere uno o mas productos o servicios a cambio de un pago.</v>
      </c>
      <c r="C3" s="84"/>
      <c r="D3" s="84"/>
      <c r="E3" s="84"/>
      <c r="F3" s="84"/>
      <c r="G3" s="84"/>
      <c r="H3" s="84"/>
      <c r="I3" s="84"/>
      <c r="J3" s="84"/>
      <c r="K3" s="84"/>
      <c r="L3" s="85"/>
      <c r="M3" s="4"/>
    </row>
    <row r="4" spans="1:13" ht="15.75" customHeight="1">
      <c r="A4" s="8" t="s">
        <v>58</v>
      </c>
      <c r="B4" s="74" t="s">
        <v>59</v>
      </c>
      <c r="C4" s="74"/>
      <c r="D4" s="86" t="s">
        <v>60</v>
      </c>
      <c r="E4" s="86"/>
      <c r="F4" s="77" t="s">
        <v>61</v>
      </c>
      <c r="G4" s="77"/>
      <c r="H4" s="10" t="s">
        <v>62</v>
      </c>
      <c r="I4" s="11" t="s">
        <v>63</v>
      </c>
      <c r="J4" s="19" t="s">
        <v>64</v>
      </c>
      <c r="K4" s="80" t="s">
        <v>65</v>
      </c>
      <c r="L4" s="81" t="s">
        <v>66</v>
      </c>
      <c r="M4" s="4"/>
    </row>
    <row r="5" spans="1:13">
      <c r="A5" s="73" t="s">
        <v>58</v>
      </c>
      <c r="B5" s="74" t="s">
        <v>67</v>
      </c>
      <c r="C5" s="74" t="s">
        <v>1</v>
      </c>
      <c r="D5" s="86" t="s">
        <v>68</v>
      </c>
      <c r="E5" s="86"/>
      <c r="F5" s="75" t="s">
        <v>69</v>
      </c>
      <c r="G5" s="75"/>
      <c r="H5" s="78" t="s">
        <v>70</v>
      </c>
      <c r="I5" s="79" t="s">
        <v>71</v>
      </c>
      <c r="J5" s="76" t="s">
        <v>72</v>
      </c>
      <c r="K5" s="80"/>
      <c r="L5" s="81"/>
    </row>
    <row r="6" spans="1:13">
      <c r="A6" s="73"/>
      <c r="B6" s="74"/>
      <c r="C6" s="74"/>
      <c r="D6" s="18" t="s">
        <v>73</v>
      </c>
      <c r="E6" s="18" t="s">
        <v>1</v>
      </c>
      <c r="F6" s="7" t="s">
        <v>74</v>
      </c>
      <c r="G6" s="7" t="s">
        <v>1</v>
      </c>
      <c r="H6" s="78"/>
      <c r="I6" s="79"/>
      <c r="J6" s="76"/>
      <c r="K6" s="80"/>
      <c r="L6" s="81"/>
    </row>
    <row r="7" spans="1:13" ht="30.75">
      <c r="A7" s="46" t="s">
        <v>88</v>
      </c>
      <c r="B7" s="46" t="s">
        <v>340</v>
      </c>
      <c r="C7" s="46" t="s">
        <v>348</v>
      </c>
      <c r="D7" s="46" t="s">
        <v>349</v>
      </c>
      <c r="E7" s="46" t="s">
        <v>350</v>
      </c>
      <c r="F7" s="46" t="s">
        <v>351</v>
      </c>
      <c r="G7" s="46" t="s">
        <v>352</v>
      </c>
      <c r="H7" s="46"/>
      <c r="I7" s="46" t="s">
        <v>353</v>
      </c>
      <c r="J7" s="46" t="s">
        <v>354</v>
      </c>
      <c r="K7" s="46" t="s">
        <v>355</v>
      </c>
      <c r="L7" s="46" t="s">
        <v>356</v>
      </c>
    </row>
    <row r="8" spans="1:13" ht="30.75">
      <c r="A8" s="46" t="s">
        <v>88</v>
      </c>
      <c r="B8" s="46" t="s">
        <v>357</v>
      </c>
      <c r="C8" s="46" t="s">
        <v>358</v>
      </c>
      <c r="D8" s="46" t="s">
        <v>359</v>
      </c>
      <c r="E8" s="46" t="s">
        <v>360</v>
      </c>
      <c r="F8" s="46" t="s">
        <v>361</v>
      </c>
      <c r="G8" s="46" t="s">
        <v>362</v>
      </c>
      <c r="H8" s="46"/>
      <c r="I8" s="46" t="s">
        <v>363</v>
      </c>
      <c r="J8" s="46" t="s">
        <v>364</v>
      </c>
      <c r="K8" s="46" t="s">
        <v>353</v>
      </c>
      <c r="L8" s="46" t="s">
        <v>81</v>
      </c>
    </row>
    <row r="9" spans="1:13" ht="30.75">
      <c r="A9" s="46" t="s">
        <v>88</v>
      </c>
      <c r="B9" s="46" t="s">
        <v>365</v>
      </c>
      <c r="C9" s="46" t="s">
        <v>366</v>
      </c>
      <c r="D9" s="46" t="s">
        <v>367</v>
      </c>
      <c r="E9" s="46" t="s">
        <v>368</v>
      </c>
      <c r="F9" s="46" t="s">
        <v>369</v>
      </c>
      <c r="G9" s="46" t="s">
        <v>370</v>
      </c>
      <c r="H9" s="46"/>
      <c r="I9" s="46" t="s">
        <v>371</v>
      </c>
      <c r="J9" s="46" t="s">
        <v>372</v>
      </c>
      <c r="K9" s="46" t="s">
        <v>353</v>
      </c>
      <c r="L9" s="46" t="s">
        <v>357</v>
      </c>
    </row>
    <row r="10" spans="1:13" s="120" customFormat="1">
      <c r="A10" s="119" t="s">
        <v>13</v>
      </c>
      <c r="B10" s="119" t="s">
        <v>373</v>
      </c>
      <c r="C10" s="119" t="s">
        <v>374</v>
      </c>
      <c r="D10" s="119" t="s">
        <v>375</v>
      </c>
      <c r="E10" s="119" t="s">
        <v>376</v>
      </c>
      <c r="F10" s="119" t="s">
        <v>377</v>
      </c>
      <c r="G10" s="119" t="s">
        <v>378</v>
      </c>
      <c r="H10" s="119"/>
      <c r="I10" s="119" t="s">
        <v>379</v>
      </c>
      <c r="J10" s="119" t="s">
        <v>380</v>
      </c>
      <c r="K10" s="119" t="s">
        <v>353</v>
      </c>
      <c r="L10" s="119" t="s">
        <v>381</v>
      </c>
    </row>
    <row r="11" spans="1:13">
      <c r="A11"/>
      <c r="B11"/>
      <c r="C11"/>
      <c r="D11"/>
      <c r="E11"/>
      <c r="F11"/>
      <c r="G11"/>
      <c r="H11"/>
      <c r="I11"/>
      <c r="J11"/>
      <c r="K11"/>
      <c r="L11"/>
    </row>
    <row r="12" spans="1:13">
      <c r="A12"/>
      <c r="B12"/>
      <c r="C12"/>
      <c r="D12"/>
      <c r="E12"/>
      <c r="F12"/>
      <c r="G12"/>
      <c r="H12"/>
      <c r="I12"/>
      <c r="J12"/>
      <c r="K12"/>
      <c r="L12"/>
    </row>
    <row r="13" spans="1:13">
      <c r="A13"/>
      <c r="B13"/>
      <c r="C13"/>
      <c r="D13"/>
      <c r="E13"/>
      <c r="F13"/>
      <c r="G13"/>
      <c r="H13"/>
      <c r="I13"/>
      <c r="J13"/>
      <c r="K13"/>
      <c r="L13"/>
    </row>
    <row r="14" spans="1:13">
      <c r="A14"/>
      <c r="B14"/>
      <c r="C14"/>
      <c r="D14"/>
      <c r="E14"/>
      <c r="F14"/>
      <c r="G14"/>
      <c r="H14"/>
      <c r="I14"/>
      <c r="J14"/>
      <c r="K14"/>
      <c r="L14"/>
    </row>
  </sheetData>
  <mergeCells count="16">
    <mergeCell ref="J5:J6"/>
    <mergeCell ref="A1:M1"/>
    <mergeCell ref="B2:L2"/>
    <mergeCell ref="B3:L3"/>
    <mergeCell ref="B4:C4"/>
    <mergeCell ref="D4:E4"/>
    <mergeCell ref="F4:G4"/>
    <mergeCell ref="K4:K6"/>
    <mergeCell ref="L4:L6"/>
    <mergeCell ref="A5:A6"/>
    <mergeCell ref="B5:B6"/>
    <mergeCell ref="C5:C6"/>
    <mergeCell ref="D5:E5"/>
    <mergeCell ref="F5:G5"/>
    <mergeCell ref="H5:H6"/>
    <mergeCell ref="I5:I6"/>
  </mergeCells>
  <hyperlinks>
    <hyperlink ref="A1" location="'Objetos de Dominio'!A1" display="Volver al inicio" xr:uid="{599A2D44-9106-43DB-A166-063DEFD89AB1}"/>
    <hyperlink ref="A1:M1" location="'Listado Objetos de Dominio'!A1" display="&lt;-Volver al inicio" xr:uid="{03B8EDF5-3D37-45BB-9B9D-67839E8099C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9DE6A-7922-4EFD-804C-C17D8CDD6AD7}">
  <dimension ref="A1:L11"/>
  <sheetViews>
    <sheetView workbookViewId="0">
      <pane ySplit="2" topLeftCell="A3" activePane="bottomLeft" state="frozen"/>
      <selection pane="bottomLeft" activeCell="B15" sqref="B15"/>
    </sheetView>
  </sheetViews>
  <sheetFormatPr defaultColWidth="11.42578125" defaultRowHeight="15"/>
  <cols>
    <col min="1" max="1" width="23.85546875" style="1" bestFit="1" customWidth="1"/>
    <col min="2" max="2" width="36.7109375" style="1" customWidth="1"/>
    <col min="3" max="3" width="61.140625" style="1" customWidth="1"/>
    <col min="4" max="4" width="31.7109375" style="1" customWidth="1"/>
    <col min="5" max="5" width="43.7109375" style="1" customWidth="1"/>
    <col min="6" max="6" width="38.42578125" style="1" customWidth="1"/>
    <col min="7" max="7" width="69.5703125" style="1" customWidth="1"/>
    <col min="8" max="8" width="37.5703125" style="1" customWidth="1"/>
    <col min="9" max="9" width="28.5703125" style="1" bestFit="1" customWidth="1"/>
    <col min="10" max="10" width="82.28515625" style="1" customWidth="1"/>
    <col min="11" max="11" width="51.28515625" style="1" customWidth="1"/>
    <col min="12" max="12" width="62.85546875" style="1" customWidth="1"/>
    <col min="13" max="13" width="132.5703125" style="1" bestFit="1" customWidth="1"/>
    <col min="14" max="14" width="46.42578125" style="1" bestFit="1" customWidth="1"/>
    <col min="15" max="15" width="50.140625" style="1" bestFit="1" customWidth="1"/>
    <col min="16" max="16" width="66.85546875" style="1" bestFit="1" customWidth="1"/>
    <col min="17" max="17" width="52.28515625" style="1" bestFit="1" customWidth="1"/>
    <col min="18" max="16384" width="11.42578125" style="1"/>
  </cols>
  <sheetData>
    <row r="1" spans="1:12" ht="15.75" customHeight="1" thickBot="1">
      <c r="A1" s="89" t="s">
        <v>55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2" ht="25.5" customHeight="1">
      <c r="A2" s="5" t="s">
        <v>56</v>
      </c>
      <c r="B2" s="82" t="str">
        <f>'Listado Objetos de Dominio'!$A$13</f>
        <v>Envio</v>
      </c>
      <c r="C2" s="82"/>
      <c r="D2" s="82"/>
      <c r="E2" s="82"/>
      <c r="F2" s="82"/>
      <c r="G2" s="82"/>
      <c r="H2" s="82"/>
      <c r="I2" s="82"/>
      <c r="J2" s="82"/>
      <c r="K2" s="82"/>
      <c r="L2" s="83"/>
    </row>
    <row r="3" spans="1:12" ht="29.25" customHeight="1">
      <c r="A3" s="6" t="s">
        <v>57</v>
      </c>
      <c r="B3" s="84" t="str">
        <f>'Listado Objetos de Dominio'!$B$13</f>
        <v>Entidad que representa el servicio de transportar los productos adquiridos por un cliente hacia un destino.</v>
      </c>
      <c r="C3" s="84"/>
      <c r="D3" s="84"/>
      <c r="E3" s="84"/>
      <c r="F3" s="84"/>
      <c r="G3" s="84"/>
      <c r="H3" s="84"/>
      <c r="I3" s="84"/>
      <c r="J3" s="84"/>
      <c r="K3" s="84"/>
      <c r="L3" s="85"/>
    </row>
    <row r="4" spans="1:12" ht="15.75" customHeight="1">
      <c r="A4" s="8" t="s">
        <v>58</v>
      </c>
      <c r="B4" s="74" t="s">
        <v>59</v>
      </c>
      <c r="C4" s="74"/>
      <c r="D4" s="86" t="s">
        <v>60</v>
      </c>
      <c r="E4" s="86"/>
      <c r="F4" s="77" t="s">
        <v>61</v>
      </c>
      <c r="G4" s="77"/>
      <c r="H4" s="10" t="s">
        <v>62</v>
      </c>
      <c r="I4" s="11" t="s">
        <v>63</v>
      </c>
      <c r="J4" s="19" t="s">
        <v>64</v>
      </c>
      <c r="K4" s="80" t="s">
        <v>65</v>
      </c>
      <c r="L4" s="81" t="s">
        <v>66</v>
      </c>
    </row>
    <row r="5" spans="1:12">
      <c r="A5" s="73" t="s">
        <v>58</v>
      </c>
      <c r="B5" s="74" t="s">
        <v>67</v>
      </c>
      <c r="C5" s="74" t="s">
        <v>1</v>
      </c>
      <c r="D5" s="86" t="s">
        <v>68</v>
      </c>
      <c r="E5" s="86"/>
      <c r="F5" s="75" t="s">
        <v>69</v>
      </c>
      <c r="G5" s="75"/>
      <c r="H5" s="78" t="s">
        <v>70</v>
      </c>
      <c r="I5" s="79" t="s">
        <v>71</v>
      </c>
      <c r="J5" s="76" t="s">
        <v>72</v>
      </c>
      <c r="K5" s="80"/>
      <c r="L5" s="81"/>
    </row>
    <row r="6" spans="1:12">
      <c r="A6" s="73"/>
      <c r="B6" s="74"/>
      <c r="C6" s="74"/>
      <c r="D6" s="18" t="s">
        <v>73</v>
      </c>
      <c r="E6" s="18" t="s">
        <v>1</v>
      </c>
      <c r="F6" s="7" t="s">
        <v>74</v>
      </c>
      <c r="G6" s="7" t="s">
        <v>1</v>
      </c>
      <c r="H6" s="78"/>
      <c r="I6" s="79"/>
      <c r="J6" s="76"/>
      <c r="K6" s="80"/>
      <c r="L6" s="81"/>
    </row>
    <row r="7" spans="1:12" ht="30">
      <c r="A7" s="46" t="s">
        <v>13</v>
      </c>
      <c r="B7" s="46" t="s">
        <v>382</v>
      </c>
      <c r="C7" s="46" t="s">
        <v>383</v>
      </c>
      <c r="D7" s="46" t="s">
        <v>384</v>
      </c>
      <c r="E7" s="46" t="s">
        <v>385</v>
      </c>
      <c r="F7" s="46" t="s">
        <v>386</v>
      </c>
      <c r="G7" s="46" t="s">
        <v>387</v>
      </c>
      <c r="H7" s="46"/>
      <c r="I7" s="46" t="s">
        <v>388</v>
      </c>
      <c r="J7" s="46"/>
      <c r="K7" s="46" t="s">
        <v>353</v>
      </c>
      <c r="L7" s="46" t="s">
        <v>389</v>
      </c>
    </row>
    <row r="8" spans="1:12" ht="30">
      <c r="A8" s="46" t="s">
        <v>13</v>
      </c>
      <c r="B8" s="46" t="s">
        <v>390</v>
      </c>
      <c r="C8" s="46" t="s">
        <v>391</v>
      </c>
      <c r="D8" s="46" t="s">
        <v>23</v>
      </c>
      <c r="E8" s="46" t="s">
        <v>392</v>
      </c>
      <c r="F8" s="46" t="s">
        <v>393</v>
      </c>
      <c r="G8" s="46" t="s">
        <v>394</v>
      </c>
      <c r="H8" s="46"/>
      <c r="I8" s="46" t="s">
        <v>395</v>
      </c>
      <c r="J8" s="46"/>
      <c r="K8" s="46" t="s">
        <v>388</v>
      </c>
      <c r="L8" s="46" t="s">
        <v>81</v>
      </c>
    </row>
    <row r="9" spans="1:12">
      <c r="A9" s="46" t="s">
        <v>13</v>
      </c>
      <c r="B9" s="46" t="s">
        <v>396</v>
      </c>
      <c r="C9" s="46" t="s">
        <v>397</v>
      </c>
      <c r="D9" s="46" t="s">
        <v>398</v>
      </c>
      <c r="E9" s="46" t="s">
        <v>399</v>
      </c>
      <c r="F9" s="46" t="s">
        <v>400</v>
      </c>
      <c r="G9" s="46" t="s">
        <v>401</v>
      </c>
      <c r="H9" s="46"/>
      <c r="I9" s="46" t="s">
        <v>402</v>
      </c>
      <c r="J9" s="46"/>
      <c r="K9" s="46" t="s">
        <v>403</v>
      </c>
      <c r="L9" s="46" t="s">
        <v>390</v>
      </c>
    </row>
    <row r="10" spans="1:12" ht="30">
      <c r="A10" s="46" t="s">
        <v>13</v>
      </c>
      <c r="B10" s="46" t="s">
        <v>404</v>
      </c>
      <c r="C10" s="46" t="s">
        <v>405</v>
      </c>
      <c r="D10" s="46" t="s">
        <v>398</v>
      </c>
      <c r="E10" s="46" t="s">
        <v>406</v>
      </c>
      <c r="F10" s="46" t="s">
        <v>407</v>
      </c>
      <c r="G10" s="46" t="s">
        <v>408</v>
      </c>
      <c r="H10" s="46"/>
      <c r="I10" s="46" t="s">
        <v>409</v>
      </c>
      <c r="J10" s="46"/>
      <c r="K10" s="46" t="s">
        <v>388</v>
      </c>
      <c r="L10" s="46" t="s">
        <v>390</v>
      </c>
    </row>
    <row r="11" spans="1:12">
      <c r="A11" s="46" t="s">
        <v>13</v>
      </c>
      <c r="B11" s="46" t="s">
        <v>410</v>
      </c>
      <c r="C11" s="46" t="s">
        <v>411</v>
      </c>
      <c r="D11" s="46" t="s">
        <v>412</v>
      </c>
      <c r="E11" s="46" t="s">
        <v>413</v>
      </c>
      <c r="F11" s="46" t="s">
        <v>414</v>
      </c>
      <c r="G11" s="46" t="s">
        <v>415</v>
      </c>
      <c r="H11" s="46"/>
      <c r="I11" s="46" t="s">
        <v>416</v>
      </c>
      <c r="J11" s="46" t="s">
        <v>417</v>
      </c>
      <c r="K11" s="46" t="s">
        <v>403</v>
      </c>
      <c r="L11" s="46" t="s">
        <v>418</v>
      </c>
    </row>
  </sheetData>
  <mergeCells count="16">
    <mergeCell ref="J5:J6"/>
    <mergeCell ref="A1:L1"/>
    <mergeCell ref="B2:L2"/>
    <mergeCell ref="B3:L3"/>
    <mergeCell ref="B4:C4"/>
    <mergeCell ref="D4:E4"/>
    <mergeCell ref="F4:G4"/>
    <mergeCell ref="K4:K6"/>
    <mergeCell ref="L4:L6"/>
    <mergeCell ref="A5:A6"/>
    <mergeCell ref="B5:B6"/>
    <mergeCell ref="C5:C6"/>
    <mergeCell ref="D5:E5"/>
    <mergeCell ref="F5:G5"/>
    <mergeCell ref="H5:H6"/>
    <mergeCell ref="I5:I6"/>
  </mergeCells>
  <hyperlinks>
    <hyperlink ref="A1" location="'Objetos de Dominio'!A1" display="Volver al inicio" xr:uid="{39B08558-A3A4-46C2-A613-CF7669975011}"/>
    <hyperlink ref="A1:L1" location="'Listado Objetos de Dominio'!A1" display="&lt;-Volver al inicio" xr:uid="{1970B00B-9DEA-46EB-8DBF-8DC474228A7A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90308-8026-4F2C-9DA5-2DBA4881AA7C}">
  <dimension ref="A1:L20"/>
  <sheetViews>
    <sheetView topLeftCell="G1" workbookViewId="0">
      <pane ySplit="2" topLeftCell="A3" activePane="bottomLeft" state="frozen"/>
      <selection pane="bottomLeft" activeCell="B7" sqref="B7:B9"/>
    </sheetView>
  </sheetViews>
  <sheetFormatPr defaultColWidth="11.42578125" defaultRowHeight="15"/>
  <cols>
    <col min="1" max="1" width="23.85546875" style="1" bestFit="1" customWidth="1"/>
    <col min="2" max="2" width="36.7109375" style="1" customWidth="1"/>
    <col min="3" max="3" width="61.140625" style="1" customWidth="1"/>
    <col min="4" max="4" width="31.7109375" style="1" customWidth="1"/>
    <col min="5" max="5" width="43.7109375" style="1" customWidth="1"/>
    <col min="6" max="6" width="38.42578125" style="1" customWidth="1"/>
    <col min="7" max="7" width="69.5703125" style="1" customWidth="1"/>
    <col min="8" max="8" width="37.5703125" style="1" customWidth="1"/>
    <col min="9" max="9" width="28.5703125" style="1" bestFit="1" customWidth="1"/>
    <col min="10" max="10" width="82.28515625" style="1" customWidth="1"/>
    <col min="11" max="11" width="51.28515625" style="1" customWidth="1"/>
    <col min="12" max="12" width="62.85546875" style="1" customWidth="1"/>
    <col min="13" max="13" width="132.5703125" style="1" bestFit="1" customWidth="1"/>
    <col min="14" max="14" width="46.42578125" style="1" bestFit="1" customWidth="1"/>
    <col min="15" max="15" width="50.140625" style="1" bestFit="1" customWidth="1"/>
    <col min="16" max="16" width="66.85546875" style="1" bestFit="1" customWidth="1"/>
    <col min="17" max="17" width="52.28515625" style="1" bestFit="1" customWidth="1"/>
    <col min="18" max="16384" width="11.42578125" style="1"/>
  </cols>
  <sheetData>
    <row r="1" spans="1:12" ht="15.75" customHeight="1" thickBot="1">
      <c r="A1" s="89" t="s">
        <v>55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2" ht="25.5" customHeight="1">
      <c r="A2" s="5" t="s">
        <v>56</v>
      </c>
      <c r="B2" s="82" t="str">
        <f>'Listado Objetos de Dominio'!$A$14</f>
        <v>Tipo Identificación</v>
      </c>
      <c r="C2" s="82"/>
      <c r="D2" s="82"/>
      <c r="E2" s="82"/>
      <c r="F2" s="82"/>
      <c r="G2" s="82"/>
      <c r="H2" s="82"/>
      <c r="I2" s="82"/>
      <c r="J2" s="82"/>
      <c r="K2" s="82"/>
      <c r="L2" s="83"/>
    </row>
    <row r="3" spans="1:12" ht="29.25" customHeight="1">
      <c r="A3" s="6" t="s">
        <v>57</v>
      </c>
      <c r="B3" s="84" t="str">
        <f>'Listado Objetos de Dominio'!$B$14</f>
        <v>Objeto de dominio que representa a cada uno de los tipos de identificación que puede tener un usuario.</v>
      </c>
      <c r="C3" s="84"/>
      <c r="D3" s="84"/>
      <c r="E3" s="84"/>
      <c r="F3" s="84"/>
      <c r="G3" s="84"/>
      <c r="H3" s="84"/>
      <c r="I3" s="84"/>
      <c r="J3" s="84"/>
      <c r="K3" s="84"/>
      <c r="L3" s="85"/>
    </row>
    <row r="4" spans="1:12" ht="15.75" customHeight="1">
      <c r="A4" s="8" t="s">
        <v>58</v>
      </c>
      <c r="B4" s="74" t="s">
        <v>59</v>
      </c>
      <c r="C4" s="74"/>
      <c r="D4" s="86" t="s">
        <v>60</v>
      </c>
      <c r="E4" s="86"/>
      <c r="F4" s="77" t="s">
        <v>61</v>
      </c>
      <c r="G4" s="77"/>
      <c r="H4" s="10" t="s">
        <v>62</v>
      </c>
      <c r="I4" s="11" t="s">
        <v>63</v>
      </c>
      <c r="J4" s="19" t="s">
        <v>64</v>
      </c>
      <c r="K4" s="80" t="s">
        <v>65</v>
      </c>
      <c r="L4" s="81" t="s">
        <v>66</v>
      </c>
    </row>
    <row r="5" spans="1:12">
      <c r="A5" s="73" t="s">
        <v>58</v>
      </c>
      <c r="B5" s="74" t="s">
        <v>67</v>
      </c>
      <c r="C5" s="74" t="s">
        <v>1</v>
      </c>
      <c r="D5" s="86" t="s">
        <v>68</v>
      </c>
      <c r="E5" s="86"/>
      <c r="F5" s="75" t="s">
        <v>69</v>
      </c>
      <c r="G5" s="75"/>
      <c r="H5" s="78" t="s">
        <v>70</v>
      </c>
      <c r="I5" s="79" t="s">
        <v>71</v>
      </c>
      <c r="J5" s="76" t="s">
        <v>72</v>
      </c>
      <c r="K5" s="80"/>
      <c r="L5" s="81"/>
    </row>
    <row r="6" spans="1:12" ht="15.75" thickBot="1">
      <c r="A6" s="73"/>
      <c r="B6" s="74"/>
      <c r="C6" s="74"/>
      <c r="D6" s="18" t="s">
        <v>73</v>
      </c>
      <c r="E6" s="18" t="s">
        <v>1</v>
      </c>
      <c r="F6" s="7" t="s">
        <v>74</v>
      </c>
      <c r="G6" s="7" t="s">
        <v>1</v>
      </c>
      <c r="H6" s="78"/>
      <c r="I6" s="79"/>
      <c r="J6" s="76"/>
      <c r="K6" s="80"/>
      <c r="L6" s="81"/>
    </row>
    <row r="7" spans="1:12">
      <c r="A7" s="109" t="s">
        <v>6</v>
      </c>
      <c r="B7" s="112" t="s">
        <v>419</v>
      </c>
      <c r="C7" s="115" t="s">
        <v>420</v>
      </c>
      <c r="D7" s="121"/>
      <c r="E7" s="122" t="s">
        <v>421</v>
      </c>
      <c r="F7" s="27" t="s">
        <v>422</v>
      </c>
      <c r="G7" s="28" t="s">
        <v>423</v>
      </c>
      <c r="H7" s="92" t="s">
        <v>421</v>
      </c>
      <c r="I7" s="99" t="s">
        <v>424</v>
      </c>
      <c r="J7" s="92" t="s">
        <v>421</v>
      </c>
      <c r="K7" s="102" t="s">
        <v>421</v>
      </c>
      <c r="L7" s="123" t="s">
        <v>425</v>
      </c>
    </row>
    <row r="8" spans="1:12">
      <c r="A8" s="110"/>
      <c r="B8" s="113"/>
      <c r="C8" s="116"/>
      <c r="D8" s="124"/>
      <c r="E8" s="125"/>
      <c r="F8" s="29" t="s">
        <v>426</v>
      </c>
      <c r="G8" s="30" t="s">
        <v>427</v>
      </c>
      <c r="H8" s="93"/>
      <c r="I8" s="100"/>
      <c r="J8" s="93"/>
      <c r="K8" s="103"/>
      <c r="L8" s="126"/>
    </row>
    <row r="9" spans="1:12" ht="30.75" thickBot="1">
      <c r="A9" s="111"/>
      <c r="B9" s="114"/>
      <c r="C9" s="117"/>
      <c r="D9" s="127"/>
      <c r="E9" s="128"/>
      <c r="F9" s="31" t="s">
        <v>428</v>
      </c>
      <c r="G9" s="32" t="s">
        <v>429</v>
      </c>
      <c r="H9" s="94"/>
      <c r="I9" s="101"/>
      <c r="J9" s="94"/>
      <c r="K9" s="104"/>
      <c r="L9" s="33" t="s">
        <v>430</v>
      </c>
    </row>
    <row r="10" spans="1:12" ht="45">
      <c r="A10" s="105" t="s">
        <v>431</v>
      </c>
      <c r="B10" s="107" t="s">
        <v>432</v>
      </c>
      <c r="C10" s="107" t="s">
        <v>433</v>
      </c>
      <c r="D10" s="124"/>
      <c r="E10" s="124" t="s">
        <v>421</v>
      </c>
      <c r="F10" s="42" t="s">
        <v>428</v>
      </c>
      <c r="G10" s="43" t="s">
        <v>434</v>
      </c>
      <c r="H10" s="26" t="s">
        <v>421</v>
      </c>
      <c r="I10" s="95" t="s">
        <v>435</v>
      </c>
      <c r="J10" s="26" t="s">
        <v>421</v>
      </c>
      <c r="K10" s="97" t="s">
        <v>436</v>
      </c>
      <c r="L10" s="34" t="s">
        <v>425</v>
      </c>
    </row>
    <row r="11" spans="1:12" ht="15.75" thickBot="1">
      <c r="A11" s="106"/>
      <c r="B11" s="108"/>
      <c r="C11" s="108"/>
      <c r="D11" s="129"/>
      <c r="E11" s="124"/>
      <c r="F11" s="31"/>
      <c r="G11" s="44"/>
      <c r="H11" s="26"/>
      <c r="I11" s="96"/>
      <c r="J11" s="26"/>
      <c r="K11" s="98"/>
      <c r="L11" s="34" t="s">
        <v>430</v>
      </c>
    </row>
    <row r="12" spans="1:12" ht="15.75" thickBot="1">
      <c r="A12" s="39" t="s">
        <v>431</v>
      </c>
      <c r="B12" s="40" t="s">
        <v>437</v>
      </c>
      <c r="C12" s="41" t="s">
        <v>438</v>
      </c>
      <c r="D12" s="35"/>
      <c r="E12" s="35" t="s">
        <v>421</v>
      </c>
      <c r="F12" s="36" t="s">
        <v>439</v>
      </c>
      <c r="G12" s="37" t="s">
        <v>440</v>
      </c>
      <c r="H12" s="35" t="s">
        <v>421</v>
      </c>
      <c r="I12" s="35" t="s">
        <v>441</v>
      </c>
      <c r="J12" s="35" t="s">
        <v>421</v>
      </c>
      <c r="K12" s="45" t="s">
        <v>436</v>
      </c>
      <c r="L12" s="38" t="s">
        <v>442</v>
      </c>
    </row>
    <row r="14" spans="1:1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spans="1:12">
      <c r="A15"/>
      <c r="B15"/>
      <c r="C15"/>
      <c r="D15"/>
      <c r="E15"/>
      <c r="F15"/>
      <c r="G15"/>
      <c r="H15"/>
      <c r="I15"/>
      <c r="J15"/>
      <c r="K15"/>
      <c r="L15"/>
    </row>
    <row r="16" spans="1:12">
      <c r="A16"/>
      <c r="B16"/>
      <c r="C16"/>
      <c r="D16"/>
      <c r="E16"/>
      <c r="F16"/>
      <c r="G16"/>
      <c r="H16"/>
      <c r="I16"/>
      <c r="J16"/>
      <c r="K16"/>
      <c r="L16"/>
    </row>
    <row r="17" spans="1:12">
      <c r="A17"/>
      <c r="B17"/>
      <c r="C17"/>
      <c r="D17"/>
      <c r="E17"/>
      <c r="F17"/>
      <c r="G17"/>
      <c r="H17"/>
      <c r="I17"/>
      <c r="J17"/>
      <c r="K17"/>
      <c r="L17"/>
    </row>
    <row r="18" spans="1:12">
      <c r="A18"/>
      <c r="B18"/>
      <c r="C18"/>
      <c r="D18"/>
      <c r="E18"/>
      <c r="F18"/>
      <c r="G18"/>
      <c r="H18"/>
      <c r="I18"/>
      <c r="J18"/>
      <c r="K18"/>
      <c r="L18"/>
    </row>
    <row r="19" spans="1:12">
      <c r="A19"/>
      <c r="B19"/>
      <c r="C19"/>
      <c r="D19"/>
      <c r="E19"/>
      <c r="F19"/>
      <c r="G19"/>
      <c r="H19"/>
      <c r="I19"/>
      <c r="J19"/>
      <c r="K19"/>
      <c r="L19"/>
    </row>
    <row r="20" spans="1:12">
      <c r="A20"/>
      <c r="B20"/>
      <c r="C20"/>
      <c r="D20"/>
      <c r="E20"/>
      <c r="F20"/>
      <c r="G20"/>
      <c r="H20"/>
      <c r="I20"/>
      <c r="J20"/>
      <c r="K20"/>
      <c r="L20"/>
    </row>
  </sheetData>
  <mergeCells count="33">
    <mergeCell ref="J5:J6"/>
    <mergeCell ref="A1:L1"/>
    <mergeCell ref="B2:L2"/>
    <mergeCell ref="B3:L3"/>
    <mergeCell ref="B4:C4"/>
    <mergeCell ref="D4:E4"/>
    <mergeCell ref="F4:G4"/>
    <mergeCell ref="K4:K6"/>
    <mergeCell ref="L4:L6"/>
    <mergeCell ref="A5:A6"/>
    <mergeCell ref="B5:B6"/>
    <mergeCell ref="C5:C6"/>
    <mergeCell ref="D5:E5"/>
    <mergeCell ref="F5:G5"/>
    <mergeCell ref="H5:H6"/>
    <mergeCell ref="I5:I6"/>
    <mergeCell ref="A7:A9"/>
    <mergeCell ref="B7:B9"/>
    <mergeCell ref="C7:C9"/>
    <mergeCell ref="D7:D9"/>
    <mergeCell ref="E7:E9"/>
    <mergeCell ref="A10:A11"/>
    <mergeCell ref="B10:B11"/>
    <mergeCell ref="C10:C11"/>
    <mergeCell ref="D10:D11"/>
    <mergeCell ref="E10:E11"/>
    <mergeCell ref="L7:L8"/>
    <mergeCell ref="H7:H9"/>
    <mergeCell ref="I10:I11"/>
    <mergeCell ref="K10:K11"/>
    <mergeCell ref="I7:I9"/>
    <mergeCell ref="J7:J9"/>
    <mergeCell ref="K7:K9"/>
  </mergeCells>
  <hyperlinks>
    <hyperlink ref="A1" location="'Objetos de Dominio'!A1" display="Volver al inicio" xr:uid="{A7D05FD8-CCCA-4016-9FEE-F54341B0AA58}"/>
    <hyperlink ref="A1:L1" location="'Listado Objetos de Dominio'!A1" display="&lt;-Volver al inicio" xr:uid="{21146AB6-A0F0-4504-8F77-EDCDF293676A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822D4-C264-47A5-9684-2AFDB44883A1}">
  <dimension ref="A1:M15"/>
  <sheetViews>
    <sheetView workbookViewId="0">
      <pane ySplit="2" topLeftCell="A3" activePane="bottomLeft" state="frozen"/>
      <selection pane="bottomLeft" activeCell="B9" sqref="B9"/>
    </sheetView>
  </sheetViews>
  <sheetFormatPr defaultColWidth="11.42578125" defaultRowHeight="15"/>
  <cols>
    <col min="1" max="1" width="23.85546875" style="1" bestFit="1" customWidth="1"/>
    <col min="2" max="2" width="36.7109375" style="1" customWidth="1"/>
    <col min="3" max="3" width="61.140625" style="1" customWidth="1"/>
    <col min="4" max="4" width="31.7109375" style="1" customWidth="1"/>
    <col min="5" max="5" width="43.7109375" style="1" customWidth="1"/>
    <col min="6" max="6" width="38.42578125" style="1" customWidth="1"/>
    <col min="7" max="7" width="69.5703125" style="1" customWidth="1"/>
    <col min="8" max="8" width="37.5703125" style="1" customWidth="1"/>
    <col min="9" max="9" width="28.5703125" style="1" bestFit="1" customWidth="1"/>
    <col min="10" max="10" width="82.28515625" style="1" customWidth="1"/>
    <col min="11" max="11" width="51.28515625" style="1" customWidth="1"/>
    <col min="12" max="12" width="62.85546875" style="1" customWidth="1"/>
    <col min="13" max="13" width="19.28515625" style="1" bestFit="1" customWidth="1"/>
    <col min="14" max="14" width="132.5703125" style="1" bestFit="1" customWidth="1"/>
    <col min="15" max="15" width="46.42578125" style="1" bestFit="1" customWidth="1"/>
    <col min="16" max="16" width="50.140625" style="1" bestFit="1" customWidth="1"/>
    <col min="17" max="17" width="66.85546875" style="1" bestFit="1" customWidth="1"/>
    <col min="18" max="18" width="52.28515625" style="1" bestFit="1" customWidth="1"/>
    <col min="19" max="16384" width="11.42578125" style="1"/>
  </cols>
  <sheetData>
    <row r="1" spans="1:13" ht="15.75" customHeight="1" thickBot="1">
      <c r="A1" s="89" t="s">
        <v>55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3" ht="25.5" customHeight="1">
      <c r="A2" s="5" t="s">
        <v>56</v>
      </c>
      <c r="B2" s="82" t="str">
        <f>'Listado Objetos de Dominio'!$A$15</f>
        <v>Estado Usuario</v>
      </c>
      <c r="C2" s="82"/>
      <c r="D2" s="82"/>
      <c r="E2" s="82"/>
      <c r="F2" s="82"/>
      <c r="G2" s="82"/>
      <c r="H2" s="82"/>
      <c r="I2" s="82"/>
      <c r="J2" s="82"/>
      <c r="K2" s="82"/>
      <c r="L2" s="83"/>
      <c r="M2" s="3"/>
    </row>
    <row r="3" spans="1:13" ht="29.25" customHeight="1">
      <c r="A3" s="6" t="s">
        <v>57</v>
      </c>
      <c r="B3" s="84" t="str">
        <f>'Listado Objetos de Dominio'!$B$15</f>
        <v>Corresponde a cada uno de los estados que puede tener un Administrador o Trabajador</v>
      </c>
      <c r="C3" s="84"/>
      <c r="D3" s="84"/>
      <c r="E3" s="84"/>
      <c r="F3" s="84"/>
      <c r="G3" s="84"/>
      <c r="H3" s="84"/>
      <c r="I3" s="84"/>
      <c r="J3" s="84"/>
      <c r="K3" s="84"/>
      <c r="L3" s="85"/>
      <c r="M3" s="4"/>
    </row>
    <row r="4" spans="1:13" ht="15.75" customHeight="1">
      <c r="A4" s="8" t="s">
        <v>58</v>
      </c>
      <c r="B4" s="74" t="s">
        <v>59</v>
      </c>
      <c r="C4" s="74"/>
      <c r="D4" s="86" t="s">
        <v>60</v>
      </c>
      <c r="E4" s="86"/>
      <c r="F4" s="77" t="s">
        <v>61</v>
      </c>
      <c r="G4" s="77"/>
      <c r="H4" s="10" t="s">
        <v>62</v>
      </c>
      <c r="I4" s="11" t="s">
        <v>63</v>
      </c>
      <c r="J4" s="19" t="s">
        <v>64</v>
      </c>
      <c r="K4" s="80" t="s">
        <v>65</v>
      </c>
      <c r="L4" s="81" t="s">
        <v>66</v>
      </c>
      <c r="M4" s="4"/>
    </row>
    <row r="5" spans="1:13">
      <c r="A5" s="73" t="s">
        <v>58</v>
      </c>
      <c r="B5" s="74" t="s">
        <v>67</v>
      </c>
      <c r="C5" s="74" t="s">
        <v>1</v>
      </c>
      <c r="D5" s="86" t="s">
        <v>68</v>
      </c>
      <c r="E5" s="86"/>
      <c r="F5" s="75" t="s">
        <v>69</v>
      </c>
      <c r="G5" s="75"/>
      <c r="H5" s="78" t="s">
        <v>70</v>
      </c>
      <c r="I5" s="79" t="s">
        <v>71</v>
      </c>
      <c r="J5" s="76" t="s">
        <v>72</v>
      </c>
      <c r="K5" s="80"/>
      <c r="L5" s="81"/>
    </row>
    <row r="6" spans="1:13">
      <c r="A6" s="73"/>
      <c r="B6" s="74"/>
      <c r="C6" s="74"/>
      <c r="D6" s="60" t="s">
        <v>73</v>
      </c>
      <c r="E6" s="60" t="s">
        <v>1</v>
      </c>
      <c r="F6" s="61" t="s">
        <v>74</v>
      </c>
      <c r="G6" s="61" t="s">
        <v>1</v>
      </c>
      <c r="H6" s="78"/>
      <c r="I6" s="79"/>
      <c r="J6" s="76"/>
      <c r="K6" s="80"/>
      <c r="L6" s="81"/>
    </row>
    <row r="7" spans="1:13" s="13" customFormat="1" ht="30.75">
      <c r="A7" s="46" t="s">
        <v>6</v>
      </c>
      <c r="B7" s="46" t="s">
        <v>341</v>
      </c>
      <c r="C7" s="46" t="s">
        <v>443</v>
      </c>
      <c r="D7" s="46" t="s">
        <v>444</v>
      </c>
      <c r="E7" s="46" t="s">
        <v>444</v>
      </c>
      <c r="F7" s="46" t="s">
        <v>445</v>
      </c>
      <c r="G7" s="46" t="s">
        <v>446</v>
      </c>
      <c r="H7" s="46" t="s">
        <v>444</v>
      </c>
      <c r="I7" s="46" t="s">
        <v>447</v>
      </c>
      <c r="J7" s="46"/>
      <c r="K7" s="46" t="s">
        <v>81</v>
      </c>
      <c r="L7" s="46" t="s">
        <v>81</v>
      </c>
    </row>
    <row r="8" spans="1:1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</row>
    <row r="9" spans="1:13">
      <c r="A9"/>
      <c r="B9"/>
      <c r="C9"/>
      <c r="D9"/>
      <c r="E9"/>
      <c r="F9"/>
      <c r="G9"/>
      <c r="H9"/>
      <c r="I9"/>
      <c r="J9"/>
      <c r="K9"/>
      <c r="L9"/>
    </row>
    <row r="10" spans="1:13">
      <c r="A10"/>
      <c r="B10"/>
      <c r="C10"/>
      <c r="D10" s="25"/>
      <c r="E10"/>
      <c r="F10"/>
      <c r="G10"/>
      <c r="H10"/>
      <c r="I10"/>
      <c r="J10"/>
      <c r="K10"/>
      <c r="L10"/>
    </row>
    <row r="11" spans="1:13">
      <c r="A11"/>
      <c r="B11"/>
      <c r="C11"/>
      <c r="D11"/>
      <c r="E11"/>
      <c r="F11"/>
      <c r="G11"/>
      <c r="H11"/>
      <c r="I11"/>
      <c r="J11"/>
      <c r="K11"/>
      <c r="L11"/>
    </row>
    <row r="12" spans="1:13">
      <c r="A12"/>
      <c r="B12"/>
      <c r="C12"/>
      <c r="D12"/>
      <c r="E12"/>
      <c r="F12"/>
      <c r="G12"/>
      <c r="H12"/>
      <c r="I12"/>
      <c r="J12"/>
      <c r="K12"/>
      <c r="L12"/>
    </row>
    <row r="13" spans="1:13">
      <c r="A13"/>
      <c r="B13"/>
      <c r="C13"/>
      <c r="D13"/>
      <c r="E13"/>
      <c r="F13"/>
      <c r="G13"/>
      <c r="H13"/>
      <c r="I13"/>
      <c r="J13"/>
      <c r="K13"/>
      <c r="L13"/>
    </row>
    <row r="14" spans="1:13">
      <c r="A14"/>
      <c r="B14"/>
      <c r="C14"/>
      <c r="D14"/>
      <c r="E14"/>
      <c r="F14"/>
      <c r="G14"/>
      <c r="H14"/>
      <c r="I14"/>
      <c r="J14"/>
      <c r="K14"/>
      <c r="L14"/>
    </row>
    <row r="15" spans="1:13">
      <c r="A15"/>
      <c r="B15"/>
      <c r="C15"/>
      <c r="D15"/>
      <c r="E15"/>
      <c r="F15"/>
      <c r="G15"/>
      <c r="H15"/>
      <c r="I15"/>
      <c r="J15"/>
      <c r="K15"/>
      <c r="L15"/>
    </row>
  </sheetData>
  <mergeCells count="16">
    <mergeCell ref="J5:J6"/>
    <mergeCell ref="A1:M1"/>
    <mergeCell ref="B2:L2"/>
    <mergeCell ref="B3:L3"/>
    <mergeCell ref="B4:C4"/>
    <mergeCell ref="D4:E4"/>
    <mergeCell ref="F4:G4"/>
    <mergeCell ref="K4:K6"/>
    <mergeCell ref="L4:L6"/>
    <mergeCell ref="A5:A6"/>
    <mergeCell ref="B5:B6"/>
    <mergeCell ref="C5:C6"/>
    <mergeCell ref="D5:E5"/>
    <mergeCell ref="F5:G5"/>
    <mergeCell ref="H5:H6"/>
    <mergeCell ref="I5:I6"/>
  </mergeCells>
  <hyperlinks>
    <hyperlink ref="A1" location="'Objetos de Dominio'!A1" display="Volver al inicio" xr:uid="{0BE037E9-F517-46A6-81AE-09ECB28F37A9}"/>
    <hyperlink ref="A1:M1" location="'Listado Objetos de Dominio'!A1" display="&lt;-Volver al inicio" xr:uid="{7C281A26-6C5B-4C7A-B4D4-FC458DAB4212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F5A08-92C1-4285-A97E-4A1D916BA733}">
  <dimension ref="A1:M18"/>
  <sheetViews>
    <sheetView topLeftCell="I1" workbookViewId="0">
      <pane ySplit="2" topLeftCell="A3" activePane="bottomLeft" state="frozen"/>
      <selection pane="bottomLeft" activeCell="A10" sqref="A10"/>
    </sheetView>
  </sheetViews>
  <sheetFormatPr defaultColWidth="11.42578125" defaultRowHeight="15"/>
  <cols>
    <col min="1" max="1" width="23.85546875" style="1" bestFit="1" customWidth="1"/>
    <col min="2" max="2" width="36.7109375" style="1" customWidth="1"/>
    <col min="3" max="3" width="61.140625" style="1" customWidth="1"/>
    <col min="4" max="4" width="31.7109375" style="1" customWidth="1"/>
    <col min="5" max="5" width="43.7109375" style="1" customWidth="1"/>
    <col min="6" max="6" width="38.42578125" style="1" customWidth="1"/>
    <col min="7" max="7" width="69.5703125" style="1" customWidth="1"/>
    <col min="8" max="8" width="37.5703125" style="1" customWidth="1"/>
    <col min="9" max="9" width="28.5703125" style="1" bestFit="1" customWidth="1"/>
    <col min="10" max="10" width="82.28515625" style="1" customWidth="1"/>
    <col min="11" max="11" width="51.28515625" style="1" customWidth="1"/>
    <col min="12" max="12" width="62.85546875" style="1" customWidth="1"/>
    <col min="13" max="13" width="19.28515625" style="1" bestFit="1" customWidth="1"/>
    <col min="14" max="14" width="132.5703125" style="1" bestFit="1" customWidth="1"/>
    <col min="15" max="15" width="46.42578125" style="1" bestFit="1" customWidth="1"/>
    <col min="16" max="16" width="50.140625" style="1" bestFit="1" customWidth="1"/>
    <col min="17" max="17" width="66.85546875" style="1" bestFit="1" customWidth="1"/>
    <col min="18" max="18" width="52.28515625" style="1" bestFit="1" customWidth="1"/>
    <col min="19" max="16384" width="11.42578125" style="1"/>
  </cols>
  <sheetData>
    <row r="1" spans="1:13" ht="15.75" customHeight="1" thickBot="1">
      <c r="A1" s="89" t="s">
        <v>55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3" ht="25.5" customHeight="1">
      <c r="A2" s="5" t="s">
        <v>56</v>
      </c>
      <c r="B2" s="82" t="str">
        <f>'Listado Objetos de Dominio'!$A$16</f>
        <v xml:space="preserve">Categoría </v>
      </c>
      <c r="C2" s="82"/>
      <c r="D2" s="82"/>
      <c r="E2" s="82"/>
      <c r="F2" s="82"/>
      <c r="G2" s="82"/>
      <c r="H2" s="82"/>
      <c r="I2" s="82"/>
      <c r="J2" s="82"/>
      <c r="K2" s="82"/>
      <c r="L2" s="83"/>
      <c r="M2" s="3"/>
    </row>
    <row r="3" spans="1:13" ht="29.25" customHeight="1">
      <c r="A3" s="6" t="s">
        <v>57</v>
      </c>
      <c r="B3" s="84" t="str">
        <f>'Listado Objetos de Dominio'!$B$16</f>
        <v>Categoría mediante la cual se agrupan a los productos según sus características y uso</v>
      </c>
      <c r="C3" s="84"/>
      <c r="D3" s="84"/>
      <c r="E3" s="84"/>
      <c r="F3" s="84"/>
      <c r="G3" s="84"/>
      <c r="H3" s="84"/>
      <c r="I3" s="84"/>
      <c r="J3" s="84"/>
      <c r="K3" s="84"/>
      <c r="L3" s="85"/>
      <c r="M3" s="4"/>
    </row>
    <row r="4" spans="1:13" ht="15.75" customHeight="1">
      <c r="A4" s="8" t="s">
        <v>58</v>
      </c>
      <c r="B4" s="74" t="s">
        <v>59</v>
      </c>
      <c r="C4" s="74"/>
      <c r="D4" s="86" t="s">
        <v>60</v>
      </c>
      <c r="E4" s="86"/>
      <c r="F4" s="77" t="s">
        <v>61</v>
      </c>
      <c r="G4" s="77"/>
      <c r="H4" s="10" t="s">
        <v>62</v>
      </c>
      <c r="I4" s="11" t="s">
        <v>63</v>
      </c>
      <c r="J4" s="19" t="s">
        <v>64</v>
      </c>
      <c r="K4" s="80" t="s">
        <v>65</v>
      </c>
      <c r="L4" s="81" t="s">
        <v>66</v>
      </c>
      <c r="M4" s="4"/>
    </row>
    <row r="5" spans="1:13">
      <c r="A5" s="73" t="s">
        <v>58</v>
      </c>
      <c r="B5" s="74" t="s">
        <v>67</v>
      </c>
      <c r="C5" s="74" t="s">
        <v>1</v>
      </c>
      <c r="D5" s="86" t="s">
        <v>68</v>
      </c>
      <c r="E5" s="86"/>
      <c r="F5" s="75" t="s">
        <v>69</v>
      </c>
      <c r="G5" s="75"/>
      <c r="H5" s="78" t="s">
        <v>70</v>
      </c>
      <c r="I5" s="79" t="s">
        <v>71</v>
      </c>
      <c r="J5" s="76" t="s">
        <v>72</v>
      </c>
      <c r="K5" s="80"/>
      <c r="L5" s="81"/>
    </row>
    <row r="6" spans="1:13">
      <c r="A6" s="73"/>
      <c r="B6" s="74"/>
      <c r="C6" s="74"/>
      <c r="D6" s="18" t="s">
        <v>73</v>
      </c>
      <c r="E6" s="18" t="s">
        <v>1</v>
      </c>
      <c r="F6" s="7" t="s">
        <v>74</v>
      </c>
      <c r="G6" s="7" t="s">
        <v>1</v>
      </c>
      <c r="H6" s="78"/>
      <c r="I6" s="79"/>
      <c r="J6" s="76"/>
      <c r="K6" s="80"/>
      <c r="L6" s="81"/>
    </row>
    <row r="7" spans="1:13">
      <c r="A7" s="55" t="s">
        <v>6</v>
      </c>
      <c r="B7" s="55" t="s">
        <v>448</v>
      </c>
      <c r="C7" s="55" t="s">
        <v>449</v>
      </c>
      <c r="D7" s="55" t="s">
        <v>450</v>
      </c>
      <c r="E7" s="55" t="s">
        <v>451</v>
      </c>
      <c r="F7" s="55" t="s">
        <v>452</v>
      </c>
      <c r="G7" s="55" t="s">
        <v>453</v>
      </c>
      <c r="H7" s="55" t="s">
        <v>306</v>
      </c>
      <c r="I7" s="55" t="s">
        <v>454</v>
      </c>
      <c r="J7" s="55" t="s">
        <v>455</v>
      </c>
      <c r="K7" s="55" t="s">
        <v>81</v>
      </c>
      <c r="L7" s="55" t="s">
        <v>456</v>
      </c>
    </row>
    <row r="8" spans="1:13" ht="30">
      <c r="A8" s="55" t="s">
        <v>6</v>
      </c>
      <c r="B8" s="55" t="s">
        <v>457</v>
      </c>
      <c r="C8" s="55" t="s">
        <v>458</v>
      </c>
      <c r="D8" s="55" t="s">
        <v>459</v>
      </c>
      <c r="E8" s="55" t="s">
        <v>460</v>
      </c>
      <c r="F8" s="55" t="s">
        <v>461</v>
      </c>
      <c r="G8" s="55" t="s">
        <v>462</v>
      </c>
      <c r="H8" s="55" t="s">
        <v>306</v>
      </c>
      <c r="I8" s="55" t="s">
        <v>463</v>
      </c>
      <c r="J8" s="55" t="s">
        <v>464</v>
      </c>
      <c r="K8" s="55" t="s">
        <v>465</v>
      </c>
      <c r="L8" s="55" t="s">
        <v>456</v>
      </c>
    </row>
    <row r="11" spans="1:1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</row>
    <row r="12" spans="1:13">
      <c r="A12"/>
      <c r="B12"/>
      <c r="C12"/>
      <c r="D12"/>
      <c r="E12"/>
      <c r="F12"/>
      <c r="G12"/>
      <c r="H12"/>
      <c r="I12"/>
      <c r="J12"/>
      <c r="K12"/>
      <c r="L12"/>
    </row>
    <row r="13" spans="1:13">
      <c r="A13"/>
      <c r="B13"/>
      <c r="C13"/>
      <c r="D13" s="25"/>
      <c r="E13"/>
      <c r="F13"/>
      <c r="G13"/>
      <c r="H13"/>
      <c r="I13"/>
      <c r="J13"/>
      <c r="K13"/>
      <c r="L13"/>
    </row>
    <row r="14" spans="1:13">
      <c r="A14"/>
      <c r="B14"/>
      <c r="C14"/>
      <c r="D14"/>
      <c r="E14"/>
      <c r="F14"/>
      <c r="G14"/>
      <c r="H14"/>
      <c r="I14"/>
      <c r="J14"/>
      <c r="K14"/>
      <c r="L14"/>
    </row>
    <row r="15" spans="1:13">
      <c r="A15"/>
      <c r="B15"/>
      <c r="C15"/>
      <c r="D15"/>
      <c r="E15"/>
      <c r="F15"/>
      <c r="G15"/>
      <c r="H15"/>
      <c r="I15"/>
      <c r="J15"/>
      <c r="K15"/>
      <c r="L15"/>
    </row>
    <row r="16" spans="1:13">
      <c r="A16"/>
      <c r="B16"/>
      <c r="C16"/>
      <c r="D16"/>
      <c r="E16"/>
      <c r="F16"/>
      <c r="G16"/>
      <c r="H16"/>
      <c r="I16"/>
      <c r="J16"/>
      <c r="K16"/>
      <c r="L16"/>
    </row>
    <row r="17" spans="1:12">
      <c r="A17"/>
      <c r="B17"/>
      <c r="C17"/>
      <c r="D17"/>
      <c r="E17"/>
      <c r="F17"/>
      <c r="G17"/>
      <c r="H17"/>
      <c r="I17"/>
      <c r="J17"/>
      <c r="K17"/>
      <c r="L17"/>
    </row>
    <row r="18" spans="1:12">
      <c r="A18"/>
      <c r="B18"/>
      <c r="C18"/>
      <c r="D18"/>
      <c r="E18"/>
      <c r="F18"/>
      <c r="G18"/>
      <c r="H18"/>
      <c r="I18"/>
      <c r="J18"/>
      <c r="K18"/>
      <c r="L18"/>
    </row>
  </sheetData>
  <mergeCells count="16">
    <mergeCell ref="J5:J6"/>
    <mergeCell ref="A1:M1"/>
    <mergeCell ref="B2:L2"/>
    <mergeCell ref="B3:L3"/>
    <mergeCell ref="B4:C4"/>
    <mergeCell ref="D4:E4"/>
    <mergeCell ref="F4:G4"/>
    <mergeCell ref="K4:K6"/>
    <mergeCell ref="L4:L6"/>
    <mergeCell ref="A5:A6"/>
    <mergeCell ref="B5:B6"/>
    <mergeCell ref="C5:C6"/>
    <mergeCell ref="D5:E5"/>
    <mergeCell ref="F5:G5"/>
    <mergeCell ref="H5:H6"/>
    <mergeCell ref="I5:I6"/>
  </mergeCells>
  <hyperlinks>
    <hyperlink ref="A1" location="'Objetos de Dominio'!A1" display="Volver al inicio" xr:uid="{9E8905C4-AE67-4C5A-9822-1BE569C93FCA}"/>
    <hyperlink ref="A1:M1" location="'Listado Objetos de Dominio'!A1" display="&lt;-Volver al inicio" xr:uid="{7FD81384-CA80-4B55-9A95-787B2899FBF5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643E-AD1F-4A41-A5CC-FF1E0DFDE1AA}">
  <dimension ref="A1:L15"/>
  <sheetViews>
    <sheetView workbookViewId="0">
      <pane ySplit="2" topLeftCell="A3" activePane="bottomLeft" state="frozen"/>
      <selection pane="bottomLeft" activeCell="A7" sqref="A7:B7"/>
    </sheetView>
  </sheetViews>
  <sheetFormatPr defaultColWidth="11.42578125" defaultRowHeight="15"/>
  <cols>
    <col min="1" max="1" width="23.85546875" style="1" bestFit="1" customWidth="1"/>
    <col min="2" max="2" width="36.7109375" style="1" customWidth="1"/>
    <col min="3" max="3" width="61.140625" style="1" customWidth="1"/>
    <col min="4" max="4" width="31.7109375" style="1" customWidth="1"/>
    <col min="5" max="5" width="43.7109375" style="1" customWidth="1"/>
    <col min="6" max="6" width="38.42578125" style="1" customWidth="1"/>
    <col min="7" max="7" width="69.5703125" style="1" customWidth="1"/>
    <col min="8" max="8" width="37.5703125" style="1" customWidth="1"/>
    <col min="9" max="9" width="28.5703125" style="1" bestFit="1" customWidth="1"/>
    <col min="10" max="10" width="82.28515625" style="1" customWidth="1"/>
    <col min="11" max="11" width="51.28515625" style="1" customWidth="1"/>
    <col min="12" max="12" width="62.85546875" style="1" customWidth="1"/>
    <col min="13" max="13" width="132.5703125" style="1" bestFit="1" customWidth="1"/>
    <col min="14" max="14" width="46.42578125" style="1" bestFit="1" customWidth="1"/>
    <col min="15" max="15" width="50.140625" style="1" bestFit="1" customWidth="1"/>
    <col min="16" max="16" width="66.85546875" style="1" bestFit="1" customWidth="1"/>
    <col min="17" max="17" width="52.28515625" style="1" bestFit="1" customWidth="1"/>
    <col min="18" max="16384" width="11.42578125" style="1"/>
  </cols>
  <sheetData>
    <row r="1" spans="1:12" ht="15.75" customHeight="1" thickBot="1">
      <c r="A1" s="89" t="s">
        <v>55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2" ht="25.5" customHeight="1">
      <c r="A2" s="5" t="s">
        <v>56</v>
      </c>
      <c r="B2" s="82" t="str">
        <f>'Listado Objetos de Dominio'!$A$17</f>
        <v>País</v>
      </c>
      <c r="C2" s="82"/>
      <c r="D2" s="82"/>
      <c r="E2" s="82"/>
      <c r="F2" s="82"/>
      <c r="G2" s="82"/>
      <c r="H2" s="82"/>
      <c r="I2" s="82"/>
      <c r="J2" s="82"/>
      <c r="K2" s="82"/>
      <c r="L2" s="83"/>
    </row>
    <row r="3" spans="1:12" ht="29.25" customHeight="1">
      <c r="A3" s="6" t="s">
        <v>57</v>
      </c>
      <c r="B3" s="84" t="str">
        <f>'Listado Objetos de Dominio'!$B$17</f>
        <v>Objeto de dominio que representa a un pais al que pertenecen varios departamentos</v>
      </c>
      <c r="C3" s="84"/>
      <c r="D3" s="84"/>
      <c r="E3" s="84"/>
      <c r="F3" s="84"/>
      <c r="G3" s="84"/>
      <c r="H3" s="84"/>
      <c r="I3" s="84"/>
      <c r="J3" s="84"/>
      <c r="K3" s="84"/>
      <c r="L3" s="85"/>
    </row>
    <row r="4" spans="1:12" ht="15.75" customHeight="1">
      <c r="A4" s="8" t="s">
        <v>58</v>
      </c>
      <c r="B4" s="74" t="s">
        <v>59</v>
      </c>
      <c r="C4" s="74"/>
      <c r="D4" s="86" t="s">
        <v>60</v>
      </c>
      <c r="E4" s="86"/>
      <c r="F4" s="77" t="s">
        <v>61</v>
      </c>
      <c r="G4" s="77"/>
      <c r="H4" s="10" t="s">
        <v>62</v>
      </c>
      <c r="I4" s="11" t="s">
        <v>63</v>
      </c>
      <c r="J4" s="19" t="s">
        <v>64</v>
      </c>
      <c r="K4" s="80" t="s">
        <v>65</v>
      </c>
      <c r="L4" s="81" t="s">
        <v>66</v>
      </c>
    </row>
    <row r="5" spans="1:12">
      <c r="A5" s="73" t="s">
        <v>58</v>
      </c>
      <c r="B5" s="74" t="s">
        <v>67</v>
      </c>
      <c r="C5" s="74" t="s">
        <v>1</v>
      </c>
      <c r="D5" s="86" t="s">
        <v>68</v>
      </c>
      <c r="E5" s="86"/>
      <c r="F5" s="75" t="s">
        <v>69</v>
      </c>
      <c r="G5" s="75"/>
      <c r="H5" s="78" t="s">
        <v>70</v>
      </c>
      <c r="I5" s="79" t="s">
        <v>71</v>
      </c>
      <c r="J5" s="76" t="s">
        <v>72</v>
      </c>
      <c r="K5" s="80"/>
      <c r="L5" s="81"/>
    </row>
    <row r="6" spans="1:12">
      <c r="A6" s="73"/>
      <c r="B6" s="74"/>
      <c r="C6" s="74"/>
      <c r="D6" s="18" t="s">
        <v>73</v>
      </c>
      <c r="E6" s="18" t="s">
        <v>1</v>
      </c>
      <c r="F6" s="7" t="s">
        <v>74</v>
      </c>
      <c r="G6" s="7" t="s">
        <v>1</v>
      </c>
      <c r="H6" s="78"/>
      <c r="I6" s="79"/>
      <c r="J6" s="76"/>
      <c r="K6" s="80"/>
      <c r="L6" s="81"/>
    </row>
    <row r="7" spans="1:12" s="13" customFormat="1" ht="30">
      <c r="A7" s="46" t="s">
        <v>466</v>
      </c>
      <c r="B7" s="46" t="s">
        <v>341</v>
      </c>
      <c r="C7" s="46" t="s">
        <v>467</v>
      </c>
      <c r="D7" s="46" t="s">
        <v>444</v>
      </c>
      <c r="E7" s="46" t="s">
        <v>444</v>
      </c>
      <c r="F7" s="46" t="s">
        <v>468</v>
      </c>
      <c r="G7" s="46" t="s">
        <v>469</v>
      </c>
      <c r="H7" s="46" t="s">
        <v>444</v>
      </c>
      <c r="I7" s="46" t="s">
        <v>470</v>
      </c>
      <c r="J7" s="46" t="s">
        <v>471</v>
      </c>
      <c r="K7" s="46" t="s">
        <v>81</v>
      </c>
      <c r="L7" s="46" t="s">
        <v>81</v>
      </c>
    </row>
    <row r="9" spans="1:12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</row>
    <row r="10" spans="1:12">
      <c r="A10"/>
      <c r="B10"/>
      <c r="C10"/>
      <c r="D10"/>
      <c r="E10"/>
      <c r="F10"/>
      <c r="G10"/>
      <c r="H10"/>
      <c r="I10"/>
      <c r="J10"/>
      <c r="K10"/>
      <c r="L10"/>
    </row>
    <row r="11" spans="1:12">
      <c r="A11"/>
      <c r="B11"/>
      <c r="C11"/>
      <c r="D11"/>
      <c r="E11"/>
      <c r="F11"/>
      <c r="G11"/>
      <c r="H11"/>
      <c r="I11"/>
      <c r="J11"/>
      <c r="K11"/>
      <c r="L11"/>
    </row>
    <row r="12" spans="1:12">
      <c r="A12"/>
      <c r="B12"/>
      <c r="C12"/>
      <c r="D12"/>
      <c r="E12"/>
      <c r="F12"/>
      <c r="G12"/>
      <c r="H12"/>
      <c r="I12"/>
      <c r="J12"/>
      <c r="K12"/>
      <c r="L12"/>
    </row>
    <row r="13" spans="1:12">
      <c r="A13"/>
      <c r="B13"/>
      <c r="C13"/>
      <c r="D13"/>
      <c r="E13"/>
      <c r="F13"/>
      <c r="G13"/>
      <c r="H13"/>
      <c r="I13"/>
      <c r="J13"/>
      <c r="K13"/>
      <c r="L13"/>
    </row>
    <row r="14" spans="1:12">
      <c r="A14"/>
      <c r="B14"/>
      <c r="C14"/>
      <c r="D14"/>
      <c r="E14"/>
      <c r="F14"/>
      <c r="G14"/>
      <c r="H14"/>
      <c r="I14"/>
      <c r="J14"/>
      <c r="K14"/>
      <c r="L14"/>
    </row>
    <row r="15" spans="1:12">
      <c r="A15"/>
      <c r="B15"/>
      <c r="C15"/>
      <c r="D15"/>
      <c r="E15"/>
      <c r="F15"/>
      <c r="G15"/>
      <c r="H15"/>
      <c r="I15"/>
      <c r="J15"/>
      <c r="K15"/>
      <c r="L15"/>
    </row>
  </sheetData>
  <mergeCells count="16">
    <mergeCell ref="J5:J6"/>
    <mergeCell ref="A1:L1"/>
    <mergeCell ref="B2:L2"/>
    <mergeCell ref="B3:L3"/>
    <mergeCell ref="B4:C4"/>
    <mergeCell ref="D4:E4"/>
    <mergeCell ref="F4:G4"/>
    <mergeCell ref="K4:K6"/>
    <mergeCell ref="L4:L6"/>
    <mergeCell ref="A5:A6"/>
    <mergeCell ref="B5:B6"/>
    <mergeCell ref="C5:C6"/>
    <mergeCell ref="D5:E5"/>
    <mergeCell ref="F5:G5"/>
    <mergeCell ref="H5:H6"/>
    <mergeCell ref="I5:I6"/>
  </mergeCells>
  <hyperlinks>
    <hyperlink ref="A1" location="'Objetos de Dominio'!A1" display="Volver al inicio" xr:uid="{82982995-EC96-4B01-9151-DD4534437BB0}"/>
    <hyperlink ref="A1:L1" location="'Listado Objetos de Dominio'!A1" display="&lt;-Volver al inicio" xr:uid="{D19408BD-2F1C-4BE5-8569-EE8BD506998F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AF7E3-C3DB-4FFD-A256-342382FB0773}">
  <dimension ref="A1:L17"/>
  <sheetViews>
    <sheetView workbookViewId="0">
      <pane ySplit="2" topLeftCell="A3" activePane="bottomLeft" state="frozen"/>
      <selection pane="bottomLeft" activeCell="A3" sqref="A3"/>
    </sheetView>
  </sheetViews>
  <sheetFormatPr defaultColWidth="11.42578125" defaultRowHeight="15"/>
  <cols>
    <col min="1" max="1" width="23.85546875" style="1" bestFit="1" customWidth="1"/>
    <col min="2" max="2" width="36.7109375" style="1" customWidth="1"/>
    <col min="3" max="3" width="61.140625" style="1" customWidth="1"/>
    <col min="4" max="4" width="31.7109375" style="1" customWidth="1"/>
    <col min="5" max="5" width="43.7109375" style="1" customWidth="1"/>
    <col min="6" max="6" width="38.42578125" style="1" customWidth="1"/>
    <col min="7" max="7" width="69.5703125" style="1" customWidth="1"/>
    <col min="8" max="8" width="37.5703125" style="1" customWidth="1"/>
    <col min="9" max="9" width="28.5703125" style="1" bestFit="1" customWidth="1"/>
    <col min="10" max="10" width="82.28515625" style="1" customWidth="1"/>
    <col min="11" max="11" width="51.28515625" style="1" customWidth="1"/>
    <col min="12" max="12" width="62.85546875" style="1" customWidth="1"/>
    <col min="13" max="13" width="132.5703125" style="1" bestFit="1" customWidth="1"/>
    <col min="14" max="14" width="46.42578125" style="1" bestFit="1" customWidth="1"/>
    <col min="15" max="15" width="50.140625" style="1" bestFit="1" customWidth="1"/>
    <col min="16" max="16" width="66.85546875" style="1" bestFit="1" customWidth="1"/>
    <col min="17" max="17" width="52.28515625" style="1" bestFit="1" customWidth="1"/>
    <col min="18" max="16384" width="11.42578125" style="1"/>
  </cols>
  <sheetData>
    <row r="1" spans="1:12" ht="15.75" customHeight="1" thickBot="1">
      <c r="A1" s="89" t="s">
        <v>55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2" ht="25.5" customHeight="1">
      <c r="A2" s="5" t="s">
        <v>56</v>
      </c>
      <c r="B2" s="82" t="str">
        <f>'Listado Objetos de Dominio'!$A$18</f>
        <v>Departamento</v>
      </c>
      <c r="C2" s="82"/>
      <c r="D2" s="82"/>
      <c r="E2" s="82"/>
      <c r="F2" s="82"/>
      <c r="G2" s="82"/>
      <c r="H2" s="82"/>
      <c r="I2" s="82"/>
      <c r="J2" s="82"/>
      <c r="K2" s="82"/>
      <c r="L2" s="83"/>
    </row>
    <row r="3" spans="1:12" ht="29.25" customHeight="1">
      <c r="A3" s="6" t="s">
        <v>57</v>
      </c>
      <c r="B3" s="84" t="str">
        <f>'Listado Objetos de Dominio'!$B$18</f>
        <v xml:space="preserve">Objeto de dominio que representa a un departamento al que pertenecen varias ciudades.					</v>
      </c>
      <c r="C3" s="84"/>
      <c r="D3" s="84"/>
      <c r="E3" s="84"/>
      <c r="F3" s="84"/>
      <c r="G3" s="84"/>
      <c r="H3" s="84"/>
      <c r="I3" s="84"/>
      <c r="J3" s="84"/>
      <c r="K3" s="84"/>
      <c r="L3" s="85"/>
    </row>
    <row r="4" spans="1:12" ht="15.75" customHeight="1">
      <c r="A4" s="8" t="s">
        <v>58</v>
      </c>
      <c r="B4" s="74" t="s">
        <v>59</v>
      </c>
      <c r="C4" s="74"/>
      <c r="D4" s="86" t="s">
        <v>60</v>
      </c>
      <c r="E4" s="86"/>
      <c r="F4" s="77" t="s">
        <v>61</v>
      </c>
      <c r="G4" s="77"/>
      <c r="H4" s="10" t="s">
        <v>62</v>
      </c>
      <c r="I4" s="11" t="s">
        <v>63</v>
      </c>
      <c r="J4" s="19" t="s">
        <v>64</v>
      </c>
      <c r="K4" s="80" t="s">
        <v>65</v>
      </c>
      <c r="L4" s="81" t="s">
        <v>66</v>
      </c>
    </row>
    <row r="5" spans="1:12">
      <c r="A5" s="73" t="s">
        <v>58</v>
      </c>
      <c r="B5" s="74" t="s">
        <v>67</v>
      </c>
      <c r="C5" s="74" t="s">
        <v>1</v>
      </c>
      <c r="D5" s="86" t="s">
        <v>68</v>
      </c>
      <c r="E5" s="86"/>
      <c r="F5" s="75" t="s">
        <v>69</v>
      </c>
      <c r="G5" s="75"/>
      <c r="H5" s="78" t="s">
        <v>70</v>
      </c>
      <c r="I5" s="79" t="s">
        <v>71</v>
      </c>
      <c r="J5" s="76" t="s">
        <v>72</v>
      </c>
      <c r="K5" s="80"/>
      <c r="L5" s="81"/>
    </row>
    <row r="6" spans="1:12">
      <c r="A6" s="73"/>
      <c r="B6" s="74"/>
      <c r="C6" s="74"/>
      <c r="D6" s="18" t="s">
        <v>73</v>
      </c>
      <c r="E6" s="18" t="s">
        <v>1</v>
      </c>
      <c r="F6" s="7" t="s">
        <v>74</v>
      </c>
      <c r="G6" s="7" t="s">
        <v>1</v>
      </c>
      <c r="H6" s="78"/>
      <c r="I6" s="79"/>
      <c r="J6" s="76"/>
      <c r="K6" s="80"/>
      <c r="L6" s="81"/>
    </row>
    <row r="7" spans="1:12" ht="30" customHeight="1">
      <c r="A7" s="46" t="s">
        <v>466</v>
      </c>
      <c r="B7" s="46" t="s">
        <v>341</v>
      </c>
      <c r="C7" s="46" t="s">
        <v>472</v>
      </c>
      <c r="D7" s="46" t="s">
        <v>444</v>
      </c>
      <c r="E7" s="46" t="s">
        <v>444</v>
      </c>
      <c r="F7" s="46" t="s">
        <v>473</v>
      </c>
      <c r="G7" s="46" t="s">
        <v>469</v>
      </c>
      <c r="H7" s="46" t="s">
        <v>444</v>
      </c>
      <c r="I7" s="46" t="s">
        <v>474</v>
      </c>
      <c r="J7" s="46" t="s">
        <v>475</v>
      </c>
      <c r="K7" s="46" t="s">
        <v>81</v>
      </c>
      <c r="L7" s="46" t="s">
        <v>81</v>
      </c>
    </row>
    <row r="11" spans="1:12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</row>
    <row r="12" spans="1:12">
      <c r="A12"/>
      <c r="B12"/>
      <c r="C12"/>
      <c r="D12"/>
      <c r="E12"/>
      <c r="F12"/>
      <c r="G12"/>
      <c r="H12"/>
      <c r="I12"/>
      <c r="J12"/>
      <c r="K12"/>
      <c r="L12"/>
    </row>
    <row r="13" spans="1:12">
      <c r="A13"/>
      <c r="B13"/>
      <c r="C13"/>
      <c r="D13"/>
      <c r="E13"/>
      <c r="F13"/>
      <c r="G13"/>
      <c r="H13"/>
      <c r="I13"/>
      <c r="J13"/>
      <c r="K13"/>
      <c r="L13"/>
    </row>
    <row r="14" spans="1:12">
      <c r="A14"/>
      <c r="B14"/>
      <c r="C14"/>
      <c r="D14"/>
      <c r="E14"/>
      <c r="F14"/>
      <c r="G14"/>
      <c r="H14"/>
      <c r="I14"/>
      <c r="J14"/>
      <c r="K14"/>
      <c r="L14"/>
    </row>
    <row r="15" spans="1:12">
      <c r="A15"/>
      <c r="B15"/>
      <c r="C15"/>
      <c r="D15"/>
      <c r="E15"/>
      <c r="F15"/>
      <c r="G15"/>
      <c r="H15"/>
      <c r="I15"/>
      <c r="J15"/>
      <c r="K15"/>
      <c r="L15"/>
    </row>
    <row r="16" spans="1:12">
      <c r="A16"/>
      <c r="B16"/>
      <c r="C16"/>
      <c r="D16"/>
      <c r="E16"/>
      <c r="F16"/>
      <c r="G16"/>
      <c r="H16"/>
      <c r="I16"/>
      <c r="J16"/>
      <c r="K16"/>
      <c r="L16"/>
    </row>
    <row r="17" spans="1:12">
      <c r="A17"/>
      <c r="B17"/>
      <c r="C17"/>
      <c r="D17"/>
      <c r="E17"/>
      <c r="F17"/>
      <c r="G17"/>
      <c r="H17"/>
      <c r="I17"/>
      <c r="J17"/>
      <c r="K17"/>
      <c r="L17"/>
    </row>
  </sheetData>
  <mergeCells count="16">
    <mergeCell ref="J5:J6"/>
    <mergeCell ref="A1:L1"/>
    <mergeCell ref="B2:L2"/>
    <mergeCell ref="B3:L3"/>
    <mergeCell ref="B4:C4"/>
    <mergeCell ref="D4:E4"/>
    <mergeCell ref="F4:G4"/>
    <mergeCell ref="K4:K6"/>
    <mergeCell ref="L4:L6"/>
    <mergeCell ref="A5:A6"/>
    <mergeCell ref="B5:B6"/>
    <mergeCell ref="C5:C6"/>
    <mergeCell ref="D5:E5"/>
    <mergeCell ref="F5:G5"/>
    <mergeCell ref="H5:H6"/>
    <mergeCell ref="I5:I6"/>
  </mergeCells>
  <hyperlinks>
    <hyperlink ref="A1" location="'Objetos de Dominio'!A1" display="Volver al inicio" xr:uid="{19BE3F59-08B0-4E0E-9188-39D38E8DBCD7}"/>
    <hyperlink ref="A1:L1" location="'Listado Objetos de Dominio'!A1" display="&lt;-Volver al inicio" xr:uid="{6227F786-31B8-4AD2-8816-D6AF52F03F16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CB6FE-01DC-4D1F-A745-223647F63225}">
  <dimension ref="A1:L13"/>
  <sheetViews>
    <sheetView workbookViewId="0">
      <pane ySplit="2" topLeftCell="A3" activePane="bottomLeft" state="frozen"/>
      <selection pane="bottomLeft" sqref="A1:L1"/>
    </sheetView>
  </sheetViews>
  <sheetFormatPr defaultColWidth="11.42578125" defaultRowHeight="15"/>
  <cols>
    <col min="1" max="1" width="23.85546875" style="1" bestFit="1" customWidth="1"/>
    <col min="2" max="2" width="36.7109375" style="1" customWidth="1"/>
    <col min="3" max="3" width="61.140625" style="1" customWidth="1"/>
    <col min="4" max="4" width="31.7109375" style="1" customWidth="1"/>
    <col min="5" max="5" width="43.7109375" style="1" customWidth="1"/>
    <col min="6" max="6" width="38.42578125" style="1" customWidth="1"/>
    <col min="7" max="7" width="69.5703125" style="1" customWidth="1"/>
    <col min="8" max="8" width="37.5703125" style="1" customWidth="1"/>
    <col min="9" max="9" width="28.5703125" style="1" bestFit="1" customWidth="1"/>
    <col min="10" max="10" width="82.28515625" style="1" customWidth="1"/>
    <col min="11" max="11" width="51.28515625" style="1" customWidth="1"/>
    <col min="12" max="12" width="62.85546875" style="1" customWidth="1"/>
    <col min="13" max="13" width="132.5703125" style="1" bestFit="1" customWidth="1"/>
    <col min="14" max="14" width="46.42578125" style="1" bestFit="1" customWidth="1"/>
    <col min="15" max="15" width="50.140625" style="1" bestFit="1" customWidth="1"/>
    <col min="16" max="16" width="66.85546875" style="1" bestFit="1" customWidth="1"/>
    <col min="17" max="17" width="52.28515625" style="1" bestFit="1" customWidth="1"/>
    <col min="18" max="16384" width="11.42578125" style="1"/>
  </cols>
  <sheetData>
    <row r="1" spans="1:12" ht="15.75" customHeight="1" thickBot="1">
      <c r="A1" s="89" t="s">
        <v>55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2" ht="25.5" customHeight="1">
      <c r="A2" s="5" t="s">
        <v>56</v>
      </c>
      <c r="B2" s="82" t="str">
        <f>'Listado Objetos de Dominio'!$A$19</f>
        <v>Ciudad</v>
      </c>
      <c r="C2" s="82"/>
      <c r="D2" s="82"/>
      <c r="E2" s="82"/>
      <c r="F2" s="82"/>
      <c r="G2" s="82"/>
      <c r="H2" s="82"/>
      <c r="I2" s="82"/>
      <c r="J2" s="82"/>
      <c r="K2" s="82"/>
      <c r="L2" s="83"/>
    </row>
    <row r="3" spans="1:12" ht="29.25" customHeight="1">
      <c r="A3" s="6" t="s">
        <v>57</v>
      </c>
      <c r="B3" s="84" t="str">
        <f>'Listado Objetos de Dominio'!$B$19</f>
        <v>Objeto de dominio que representa a cada una de las ciudades</v>
      </c>
      <c r="C3" s="84"/>
      <c r="D3" s="84"/>
      <c r="E3" s="84"/>
      <c r="F3" s="84"/>
      <c r="G3" s="84"/>
      <c r="H3" s="84"/>
      <c r="I3" s="84"/>
      <c r="J3" s="84"/>
      <c r="K3" s="84"/>
      <c r="L3" s="85"/>
    </row>
    <row r="4" spans="1:12" ht="15.75" customHeight="1">
      <c r="A4" s="8" t="s">
        <v>58</v>
      </c>
      <c r="B4" s="74" t="s">
        <v>59</v>
      </c>
      <c r="C4" s="74"/>
      <c r="D4" s="86" t="s">
        <v>60</v>
      </c>
      <c r="E4" s="86"/>
      <c r="F4" s="77" t="s">
        <v>61</v>
      </c>
      <c r="G4" s="77"/>
      <c r="H4" s="10" t="s">
        <v>62</v>
      </c>
      <c r="I4" s="11" t="s">
        <v>63</v>
      </c>
      <c r="J4" s="19" t="s">
        <v>64</v>
      </c>
      <c r="K4" s="80" t="s">
        <v>65</v>
      </c>
      <c r="L4" s="81" t="s">
        <v>66</v>
      </c>
    </row>
    <row r="5" spans="1:12">
      <c r="A5" s="73" t="s">
        <v>58</v>
      </c>
      <c r="B5" s="74" t="s">
        <v>67</v>
      </c>
      <c r="C5" s="74" t="s">
        <v>1</v>
      </c>
      <c r="D5" s="86" t="s">
        <v>68</v>
      </c>
      <c r="E5" s="86"/>
      <c r="F5" s="75" t="s">
        <v>69</v>
      </c>
      <c r="G5" s="75"/>
      <c r="H5" s="78" t="s">
        <v>70</v>
      </c>
      <c r="I5" s="79" t="s">
        <v>71</v>
      </c>
      <c r="J5" s="76" t="s">
        <v>72</v>
      </c>
      <c r="K5" s="80"/>
      <c r="L5" s="81"/>
    </row>
    <row r="6" spans="1:12">
      <c r="A6" s="73"/>
      <c r="B6" s="74"/>
      <c r="C6" s="74"/>
      <c r="D6" s="60" t="s">
        <v>73</v>
      </c>
      <c r="E6" s="60" t="s">
        <v>1</v>
      </c>
      <c r="F6" s="61" t="s">
        <v>74</v>
      </c>
      <c r="G6" s="61" t="s">
        <v>1</v>
      </c>
      <c r="H6" s="78"/>
      <c r="I6" s="79"/>
      <c r="J6" s="76"/>
      <c r="K6" s="80"/>
      <c r="L6" s="81"/>
    </row>
    <row r="7" spans="1:12" s="13" customFormat="1" ht="30">
      <c r="A7" s="46" t="s">
        <v>466</v>
      </c>
      <c r="B7" s="46" t="s">
        <v>341</v>
      </c>
      <c r="C7" s="46" t="s">
        <v>476</v>
      </c>
      <c r="D7" s="46" t="s">
        <v>444</v>
      </c>
      <c r="E7" s="46" t="s">
        <v>444</v>
      </c>
      <c r="F7" s="46" t="s">
        <v>477</v>
      </c>
      <c r="G7" s="46" t="s">
        <v>469</v>
      </c>
      <c r="H7" s="46" t="s">
        <v>444</v>
      </c>
      <c r="I7" s="46" t="s">
        <v>478</v>
      </c>
      <c r="J7" s="46" t="s">
        <v>479</v>
      </c>
      <c r="K7" s="46" t="s">
        <v>81</v>
      </c>
      <c r="L7" s="46" t="s">
        <v>81</v>
      </c>
    </row>
    <row r="8" spans="1:12">
      <c r="A8"/>
      <c r="B8"/>
      <c r="C8"/>
      <c r="D8"/>
      <c r="E8"/>
      <c r="F8"/>
      <c r="G8"/>
      <c r="H8"/>
      <c r="I8"/>
      <c r="J8"/>
      <c r="K8"/>
      <c r="L8"/>
    </row>
    <row r="9" spans="1:12">
      <c r="A9"/>
      <c r="B9"/>
      <c r="C9"/>
      <c r="D9"/>
      <c r="E9"/>
      <c r="F9"/>
      <c r="G9"/>
      <c r="H9"/>
      <c r="I9"/>
      <c r="J9"/>
      <c r="K9"/>
      <c r="L9"/>
    </row>
    <row r="10" spans="1:12">
      <c r="A10"/>
      <c r="B10"/>
      <c r="C10"/>
      <c r="D10"/>
      <c r="E10"/>
      <c r="F10"/>
      <c r="G10"/>
      <c r="H10"/>
      <c r="I10"/>
      <c r="J10"/>
      <c r="K10"/>
      <c r="L10"/>
    </row>
    <row r="11" spans="1:12">
      <c r="A11"/>
      <c r="B11"/>
      <c r="C11"/>
      <c r="D11"/>
      <c r="E11"/>
      <c r="F11"/>
      <c r="G11"/>
      <c r="H11"/>
      <c r="I11"/>
      <c r="J11"/>
      <c r="K11"/>
      <c r="L11"/>
    </row>
    <row r="12" spans="1:12">
      <c r="A12"/>
      <c r="B12"/>
      <c r="C12"/>
      <c r="D12"/>
      <c r="E12"/>
      <c r="F12"/>
      <c r="G12"/>
      <c r="H12"/>
      <c r="I12"/>
      <c r="J12"/>
      <c r="K12"/>
      <c r="L12"/>
    </row>
    <row r="13" spans="1:12">
      <c r="A13"/>
      <c r="B13"/>
      <c r="C13"/>
      <c r="D13"/>
      <c r="E13"/>
      <c r="F13"/>
      <c r="G13"/>
      <c r="H13"/>
      <c r="I13"/>
      <c r="J13"/>
      <c r="K13"/>
      <c r="L13"/>
    </row>
  </sheetData>
  <mergeCells count="16">
    <mergeCell ref="J5:J6"/>
    <mergeCell ref="A1:L1"/>
    <mergeCell ref="B2:L2"/>
    <mergeCell ref="B3:L3"/>
    <mergeCell ref="B4:C4"/>
    <mergeCell ref="D4:E4"/>
    <mergeCell ref="F4:G4"/>
    <mergeCell ref="K4:K6"/>
    <mergeCell ref="L4:L6"/>
    <mergeCell ref="A5:A6"/>
    <mergeCell ref="B5:B6"/>
    <mergeCell ref="C5:C6"/>
    <mergeCell ref="D5:E5"/>
    <mergeCell ref="F5:G5"/>
    <mergeCell ref="H5:H6"/>
    <mergeCell ref="I5:I6"/>
  </mergeCells>
  <hyperlinks>
    <hyperlink ref="A1" location="'Objetos de Dominio'!A1" display="Volver al inicio" xr:uid="{7410C134-3F52-4F39-A065-8D45B3A5DD46}"/>
    <hyperlink ref="A1:L1" location="'Listado Objetos de Dominio'!A1" display="&lt;-Volver al inicio" xr:uid="{09D473E6-4C49-475F-A23F-C0DA48E20CBE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3281E-0262-4261-A7B4-D690DA34CFFC}">
  <dimension ref="A1:M19"/>
  <sheetViews>
    <sheetView workbookViewId="0">
      <pane ySplit="2" topLeftCell="A3" activePane="bottomLeft" state="frozen"/>
      <selection pane="bottomLeft" activeCell="B11" sqref="B11"/>
    </sheetView>
  </sheetViews>
  <sheetFormatPr defaultColWidth="11.42578125" defaultRowHeight="15"/>
  <cols>
    <col min="1" max="1" width="23.85546875" style="1" bestFit="1" customWidth="1"/>
    <col min="2" max="2" width="36.7109375" style="1" customWidth="1"/>
    <col min="3" max="3" width="61.140625" style="1" customWidth="1"/>
    <col min="4" max="4" width="31.7109375" style="1" customWidth="1"/>
    <col min="5" max="5" width="43.7109375" style="1" customWidth="1"/>
    <col min="6" max="6" width="38.42578125" style="1" customWidth="1"/>
    <col min="7" max="7" width="69.5703125" style="1" customWidth="1"/>
    <col min="8" max="8" width="37.5703125" style="1" customWidth="1"/>
    <col min="9" max="9" width="28.5703125" style="1" bestFit="1" customWidth="1"/>
    <col min="10" max="10" width="82.28515625" style="1" customWidth="1"/>
    <col min="11" max="11" width="51.28515625" style="1" customWidth="1"/>
    <col min="12" max="12" width="62.85546875" style="1" customWidth="1"/>
    <col min="13" max="13" width="19.28515625" style="1" bestFit="1" customWidth="1"/>
    <col min="14" max="14" width="132.5703125" style="1" bestFit="1" customWidth="1"/>
    <col min="15" max="15" width="46.42578125" style="1" bestFit="1" customWidth="1"/>
    <col min="16" max="16" width="50.140625" style="1" bestFit="1" customWidth="1"/>
    <col min="17" max="17" width="66.85546875" style="1" bestFit="1" customWidth="1"/>
    <col min="18" max="18" width="52.28515625" style="1" bestFit="1" customWidth="1"/>
    <col min="19" max="16384" width="11.42578125" style="1"/>
  </cols>
  <sheetData>
    <row r="1" spans="1:13" ht="15.75" customHeight="1" thickBot="1">
      <c r="A1" s="89" t="s">
        <v>55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3" ht="25.5" customHeight="1">
      <c r="A2" s="5" t="s">
        <v>56</v>
      </c>
      <c r="B2" s="82" t="str">
        <f>'Listado Objetos de Dominio'!$A$20</f>
        <v>Insumo</v>
      </c>
      <c r="C2" s="82"/>
      <c r="D2" s="82"/>
      <c r="E2" s="82"/>
      <c r="F2" s="82"/>
      <c r="G2" s="82"/>
      <c r="H2" s="82"/>
      <c r="I2" s="82"/>
      <c r="J2" s="82"/>
      <c r="K2" s="82"/>
      <c r="L2" s="83"/>
      <c r="M2" s="3"/>
    </row>
    <row r="3" spans="1:13" ht="29.25" customHeight="1">
      <c r="A3" s="6" t="s">
        <v>57</v>
      </c>
      <c r="B3" s="84" t="str">
        <f>'Listado Objetos de Dominio'!$B$20</f>
        <v>Objeto de dominio que representa el  producto consumido para una producción</v>
      </c>
      <c r="C3" s="84"/>
      <c r="D3" s="84"/>
      <c r="E3" s="84"/>
      <c r="F3" s="84"/>
      <c r="G3" s="84"/>
      <c r="H3" s="84"/>
      <c r="I3" s="84"/>
      <c r="J3" s="84"/>
      <c r="K3" s="84"/>
      <c r="L3" s="85"/>
      <c r="M3" s="4"/>
    </row>
    <row r="4" spans="1:13" ht="15.75" customHeight="1">
      <c r="A4" s="8" t="s">
        <v>58</v>
      </c>
      <c r="B4" s="74" t="s">
        <v>59</v>
      </c>
      <c r="C4" s="74"/>
      <c r="D4" s="86" t="s">
        <v>60</v>
      </c>
      <c r="E4" s="86"/>
      <c r="F4" s="77" t="s">
        <v>61</v>
      </c>
      <c r="G4" s="77"/>
      <c r="H4" s="10" t="s">
        <v>62</v>
      </c>
      <c r="I4" s="11" t="s">
        <v>63</v>
      </c>
      <c r="J4" s="19" t="s">
        <v>64</v>
      </c>
      <c r="K4" s="80" t="s">
        <v>65</v>
      </c>
      <c r="L4" s="81" t="s">
        <v>66</v>
      </c>
      <c r="M4" s="4"/>
    </row>
    <row r="5" spans="1:13">
      <c r="A5" s="73" t="s">
        <v>58</v>
      </c>
      <c r="B5" s="74" t="s">
        <v>67</v>
      </c>
      <c r="C5" s="74" t="s">
        <v>1</v>
      </c>
      <c r="D5" s="86" t="s">
        <v>68</v>
      </c>
      <c r="E5" s="86"/>
      <c r="F5" s="75" t="s">
        <v>69</v>
      </c>
      <c r="G5" s="75"/>
      <c r="H5" s="78" t="s">
        <v>70</v>
      </c>
      <c r="I5" s="79" t="s">
        <v>71</v>
      </c>
      <c r="J5" s="76" t="s">
        <v>72</v>
      </c>
      <c r="K5" s="80"/>
      <c r="L5" s="81"/>
    </row>
    <row r="6" spans="1:13">
      <c r="A6" s="73"/>
      <c r="B6" s="74"/>
      <c r="C6" s="74"/>
      <c r="D6" s="18" t="s">
        <v>73</v>
      </c>
      <c r="E6" s="18" t="s">
        <v>1</v>
      </c>
      <c r="F6" s="7" t="s">
        <v>74</v>
      </c>
      <c r="G6" s="7" t="s">
        <v>1</v>
      </c>
      <c r="H6" s="78"/>
      <c r="I6" s="79"/>
      <c r="J6" s="76"/>
      <c r="K6" s="80"/>
      <c r="L6" s="81"/>
    </row>
    <row r="7" spans="1:13" ht="30">
      <c r="A7" s="46" t="s">
        <v>88</v>
      </c>
      <c r="B7" s="55" t="s">
        <v>480</v>
      </c>
      <c r="C7" s="55" t="s">
        <v>481</v>
      </c>
      <c r="D7" s="55" t="s">
        <v>482</v>
      </c>
      <c r="E7" s="55" t="s">
        <v>483</v>
      </c>
      <c r="F7" s="55" t="s">
        <v>484</v>
      </c>
      <c r="G7" s="55" t="s">
        <v>485</v>
      </c>
      <c r="H7" s="55" t="s">
        <v>306</v>
      </c>
      <c r="I7" s="55" t="s">
        <v>483</v>
      </c>
      <c r="J7" s="55" t="s">
        <v>486</v>
      </c>
      <c r="K7" s="55" t="s">
        <v>487</v>
      </c>
      <c r="L7" s="55" t="s">
        <v>488</v>
      </c>
    </row>
    <row r="8" spans="1:13" ht="30">
      <c r="A8" s="46" t="s">
        <v>88</v>
      </c>
      <c r="B8" s="55" t="s">
        <v>489</v>
      </c>
      <c r="C8" s="55" t="s">
        <v>490</v>
      </c>
      <c r="D8" s="55" t="s">
        <v>491</v>
      </c>
      <c r="E8" s="55" t="s">
        <v>492</v>
      </c>
      <c r="F8" s="55" t="s">
        <v>493</v>
      </c>
      <c r="G8" s="55" t="s">
        <v>494</v>
      </c>
      <c r="H8" s="55" t="s">
        <v>306</v>
      </c>
      <c r="I8" s="55" t="s">
        <v>495</v>
      </c>
      <c r="J8" s="55" t="s">
        <v>496</v>
      </c>
      <c r="K8" s="55" t="s">
        <v>497</v>
      </c>
      <c r="L8" s="55" t="s">
        <v>498</v>
      </c>
    </row>
    <row r="9" spans="1:13" ht="30">
      <c r="A9" s="46" t="s">
        <v>88</v>
      </c>
      <c r="B9" s="55" t="s">
        <v>499</v>
      </c>
      <c r="C9" s="55" t="s">
        <v>500</v>
      </c>
      <c r="D9" s="55" t="s">
        <v>501</v>
      </c>
      <c r="E9" s="55" t="s">
        <v>502</v>
      </c>
      <c r="F9" s="55" t="s">
        <v>503</v>
      </c>
      <c r="G9" s="55" t="s">
        <v>504</v>
      </c>
      <c r="H9" s="55" t="s">
        <v>306</v>
      </c>
      <c r="I9" s="55" t="s">
        <v>502</v>
      </c>
      <c r="J9" s="55" t="s">
        <v>505</v>
      </c>
      <c r="K9" s="55" t="s">
        <v>483</v>
      </c>
      <c r="L9" s="55" t="s">
        <v>506</v>
      </c>
    </row>
    <row r="12" spans="1:1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</row>
    <row r="13" spans="1:13">
      <c r="A13"/>
      <c r="B13"/>
      <c r="C13"/>
      <c r="D13"/>
      <c r="E13"/>
      <c r="F13"/>
      <c r="G13"/>
      <c r="H13"/>
      <c r="I13"/>
      <c r="J13"/>
      <c r="K13"/>
      <c r="L13"/>
    </row>
    <row r="14" spans="1:13">
      <c r="A14"/>
      <c r="B14"/>
      <c r="C14"/>
      <c r="D14"/>
      <c r="E14"/>
      <c r="F14"/>
      <c r="G14"/>
      <c r="H14"/>
      <c r="I14"/>
      <c r="J14"/>
      <c r="K14"/>
      <c r="L14"/>
    </row>
    <row r="15" spans="1:13">
      <c r="A15"/>
      <c r="B15"/>
      <c r="C15"/>
      <c r="D15"/>
      <c r="E15"/>
      <c r="F15"/>
      <c r="G15"/>
      <c r="H15"/>
      <c r="I15"/>
      <c r="J15"/>
      <c r="K15"/>
      <c r="L15"/>
    </row>
    <row r="16" spans="1:13">
      <c r="A16"/>
      <c r="B16"/>
      <c r="C16"/>
      <c r="D16"/>
      <c r="E16"/>
      <c r="F16"/>
      <c r="G16"/>
      <c r="H16"/>
      <c r="I16"/>
      <c r="J16"/>
      <c r="K16"/>
      <c r="L16"/>
    </row>
    <row r="17" spans="1:12">
      <c r="A17"/>
      <c r="B17"/>
      <c r="C17"/>
      <c r="D17"/>
      <c r="E17"/>
      <c r="F17"/>
      <c r="G17"/>
      <c r="H17"/>
      <c r="I17"/>
      <c r="J17"/>
      <c r="K17"/>
      <c r="L17"/>
    </row>
    <row r="18" spans="1:12">
      <c r="A18"/>
      <c r="B18"/>
      <c r="C18"/>
      <c r="D18"/>
      <c r="E18"/>
      <c r="F18"/>
      <c r="G18"/>
      <c r="H18"/>
      <c r="I18"/>
      <c r="J18"/>
      <c r="K18"/>
      <c r="L18"/>
    </row>
    <row r="19" spans="1:12">
      <c r="A19"/>
      <c r="B19"/>
      <c r="C19"/>
      <c r="D19"/>
      <c r="E19"/>
      <c r="F19"/>
      <c r="G19"/>
      <c r="H19"/>
      <c r="I19"/>
      <c r="J19"/>
      <c r="K19"/>
      <c r="L19"/>
    </row>
  </sheetData>
  <mergeCells count="16">
    <mergeCell ref="J5:J6"/>
    <mergeCell ref="A1:M1"/>
    <mergeCell ref="B2:L2"/>
    <mergeCell ref="B3:L3"/>
    <mergeCell ref="B4:C4"/>
    <mergeCell ref="D4:E4"/>
    <mergeCell ref="F4:G4"/>
    <mergeCell ref="K4:K6"/>
    <mergeCell ref="L4:L6"/>
    <mergeCell ref="A5:A6"/>
    <mergeCell ref="B5:B6"/>
    <mergeCell ref="C5:C6"/>
    <mergeCell ref="D5:E5"/>
    <mergeCell ref="F5:G5"/>
    <mergeCell ref="H5:H6"/>
    <mergeCell ref="I5:I6"/>
  </mergeCells>
  <hyperlinks>
    <hyperlink ref="A1" location="'Objetos de Dominio'!A1" display="Volver al inicio" xr:uid="{E80B98B2-F699-492B-A4AF-37CE37157303}"/>
    <hyperlink ref="A1:M1" location="'Listado Objetos de Dominio'!A1" display="&lt;-Volver al inicio" xr:uid="{D65815D1-D8AC-4BB7-8D9F-88F53316A901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AFF44-43ED-4B43-B409-6CA33A3C78EF}">
  <dimension ref="A1:M18"/>
  <sheetViews>
    <sheetView workbookViewId="0">
      <pane ySplit="2" topLeftCell="A3" activePane="bottomLeft" state="frozen"/>
      <selection pane="bottomLeft" activeCell="B15" sqref="B15"/>
    </sheetView>
  </sheetViews>
  <sheetFormatPr defaultColWidth="11.42578125" defaultRowHeight="15"/>
  <cols>
    <col min="1" max="1" width="23.85546875" style="1" bestFit="1" customWidth="1"/>
    <col min="2" max="2" width="36.7109375" style="1" customWidth="1"/>
    <col min="3" max="3" width="61.140625" style="1" customWidth="1"/>
    <col min="4" max="4" width="31.7109375" style="1" customWidth="1"/>
    <col min="5" max="5" width="43.7109375" style="1" customWidth="1"/>
    <col min="6" max="6" width="38.42578125" style="1" customWidth="1"/>
    <col min="7" max="7" width="69.5703125" style="1" customWidth="1"/>
    <col min="8" max="8" width="37.5703125" style="1" customWidth="1"/>
    <col min="9" max="9" width="28.5703125" style="1" bestFit="1" customWidth="1"/>
    <col min="10" max="10" width="82.28515625" style="1" customWidth="1"/>
    <col min="11" max="11" width="51.28515625" style="1" customWidth="1"/>
    <col min="12" max="12" width="62.85546875" style="1" customWidth="1"/>
    <col min="13" max="13" width="19.28515625" style="1" bestFit="1" customWidth="1"/>
    <col min="14" max="14" width="132.5703125" style="1" bestFit="1" customWidth="1"/>
    <col min="15" max="15" width="46.42578125" style="1" bestFit="1" customWidth="1"/>
    <col min="16" max="16" width="50.140625" style="1" bestFit="1" customWidth="1"/>
    <col min="17" max="17" width="66.85546875" style="1" bestFit="1" customWidth="1"/>
    <col min="18" max="18" width="52.28515625" style="1" bestFit="1" customWidth="1"/>
    <col min="19" max="16384" width="11.42578125" style="1"/>
  </cols>
  <sheetData>
    <row r="1" spans="1:13" ht="15.75" customHeight="1" thickBot="1">
      <c r="A1" s="89" t="s">
        <v>55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3" ht="25.5" customHeight="1">
      <c r="A2" s="5" t="s">
        <v>56</v>
      </c>
      <c r="B2" s="82" t="str">
        <f>'Listado Objetos de Dominio'!$A$21</f>
        <v>Unidad de medida</v>
      </c>
      <c r="C2" s="82"/>
      <c r="D2" s="82"/>
      <c r="E2" s="82"/>
      <c r="F2" s="82"/>
      <c r="G2" s="82"/>
      <c r="H2" s="82"/>
      <c r="I2" s="82"/>
      <c r="J2" s="82"/>
      <c r="K2" s="82"/>
      <c r="L2" s="83"/>
      <c r="M2" s="3"/>
    </row>
    <row r="3" spans="1:13" ht="29.25" customHeight="1">
      <c r="A3" s="6" t="s">
        <v>57</v>
      </c>
      <c r="B3" s="84" t="str">
        <f>'Listado Objetos de Dominio'!$B$21</f>
        <v>Objeto de dominio que representa cada unidad de medida que puede tener un producto</v>
      </c>
      <c r="C3" s="84"/>
      <c r="D3" s="84"/>
      <c r="E3" s="84"/>
      <c r="F3" s="84"/>
      <c r="G3" s="84"/>
      <c r="H3" s="84"/>
      <c r="I3" s="84"/>
      <c r="J3" s="84"/>
      <c r="K3" s="84"/>
      <c r="L3" s="85"/>
      <c r="M3" s="4"/>
    </row>
    <row r="4" spans="1:13" ht="15.75" customHeight="1">
      <c r="A4" s="8" t="s">
        <v>58</v>
      </c>
      <c r="B4" s="74" t="s">
        <v>59</v>
      </c>
      <c r="C4" s="74"/>
      <c r="D4" s="86" t="s">
        <v>60</v>
      </c>
      <c r="E4" s="86"/>
      <c r="F4" s="77" t="s">
        <v>61</v>
      </c>
      <c r="G4" s="77"/>
      <c r="H4" s="10" t="s">
        <v>62</v>
      </c>
      <c r="I4" s="11" t="s">
        <v>63</v>
      </c>
      <c r="J4" s="19" t="s">
        <v>64</v>
      </c>
      <c r="K4" s="80" t="s">
        <v>65</v>
      </c>
      <c r="L4" s="81" t="s">
        <v>66</v>
      </c>
      <c r="M4" s="4"/>
    </row>
    <row r="5" spans="1:13">
      <c r="A5" s="73" t="s">
        <v>58</v>
      </c>
      <c r="B5" s="74" t="s">
        <v>67</v>
      </c>
      <c r="C5" s="74" t="s">
        <v>1</v>
      </c>
      <c r="D5" s="86" t="s">
        <v>68</v>
      </c>
      <c r="E5" s="86"/>
      <c r="F5" s="75" t="s">
        <v>69</v>
      </c>
      <c r="G5" s="75"/>
      <c r="H5" s="78" t="s">
        <v>70</v>
      </c>
      <c r="I5" s="79" t="s">
        <v>71</v>
      </c>
      <c r="J5" s="76" t="s">
        <v>72</v>
      </c>
      <c r="K5" s="80"/>
      <c r="L5" s="81"/>
    </row>
    <row r="6" spans="1:13">
      <c r="A6" s="73"/>
      <c r="B6" s="74"/>
      <c r="C6" s="74"/>
      <c r="D6" s="18" t="s">
        <v>73</v>
      </c>
      <c r="E6" s="18" t="s">
        <v>1</v>
      </c>
      <c r="F6" s="7" t="s">
        <v>74</v>
      </c>
      <c r="G6" s="7" t="s">
        <v>1</v>
      </c>
      <c r="H6" s="78"/>
      <c r="I6" s="79"/>
      <c r="J6" s="76"/>
      <c r="K6" s="80"/>
      <c r="L6" s="81"/>
    </row>
    <row r="7" spans="1:13" ht="30.75">
      <c r="A7" s="46" t="s">
        <v>88</v>
      </c>
      <c r="B7" s="46" t="s">
        <v>341</v>
      </c>
      <c r="C7" s="46" t="s">
        <v>507</v>
      </c>
      <c r="D7" s="46" t="s">
        <v>343</v>
      </c>
      <c r="E7" s="46" t="s">
        <v>343</v>
      </c>
      <c r="F7" s="46" t="s">
        <v>508</v>
      </c>
      <c r="G7" s="46" t="s">
        <v>345</v>
      </c>
      <c r="H7" s="46"/>
      <c r="I7" s="46" t="s">
        <v>509</v>
      </c>
      <c r="J7" s="46" t="s">
        <v>510</v>
      </c>
      <c r="K7" s="46"/>
      <c r="L7" s="46" t="s">
        <v>81</v>
      </c>
    </row>
    <row r="8" spans="1:13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6"/>
    </row>
    <row r="12" spans="1:1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</row>
    <row r="13" spans="1:13">
      <c r="A13"/>
      <c r="B13"/>
      <c r="C13"/>
      <c r="D13"/>
      <c r="E13"/>
      <c r="F13"/>
      <c r="G13"/>
      <c r="H13"/>
      <c r="I13"/>
      <c r="J13"/>
      <c r="K13"/>
      <c r="L13"/>
    </row>
    <row r="14" spans="1:13">
      <c r="A14"/>
      <c r="B14"/>
      <c r="C14"/>
      <c r="D14"/>
      <c r="E14"/>
      <c r="F14"/>
      <c r="G14"/>
      <c r="H14"/>
      <c r="I14"/>
      <c r="J14"/>
      <c r="K14"/>
      <c r="L14"/>
    </row>
    <row r="15" spans="1:13">
      <c r="A15"/>
      <c r="B15"/>
      <c r="C15"/>
      <c r="D15"/>
      <c r="E15"/>
      <c r="F15"/>
      <c r="G15"/>
      <c r="H15"/>
      <c r="I15"/>
      <c r="J15"/>
      <c r="K15"/>
      <c r="L15"/>
    </row>
    <row r="16" spans="1:13">
      <c r="A16"/>
      <c r="B16"/>
      <c r="C16"/>
      <c r="D16"/>
      <c r="E16"/>
      <c r="F16"/>
      <c r="G16"/>
      <c r="H16"/>
      <c r="I16"/>
      <c r="J16"/>
      <c r="K16"/>
      <c r="L16"/>
    </row>
    <row r="17" spans="1:12">
      <c r="A17"/>
      <c r="B17"/>
      <c r="C17"/>
      <c r="D17"/>
      <c r="E17"/>
      <c r="F17"/>
      <c r="G17"/>
      <c r="H17"/>
      <c r="I17"/>
      <c r="J17"/>
      <c r="K17"/>
      <c r="L17"/>
    </row>
    <row r="18" spans="1:12">
      <c r="A18"/>
      <c r="B18"/>
      <c r="C18"/>
      <c r="D18"/>
      <c r="E18"/>
      <c r="F18"/>
      <c r="G18"/>
      <c r="H18"/>
      <c r="I18"/>
      <c r="J18"/>
      <c r="K18"/>
      <c r="L18"/>
    </row>
  </sheetData>
  <mergeCells count="16">
    <mergeCell ref="J5:J6"/>
    <mergeCell ref="A1:M1"/>
    <mergeCell ref="B2:L2"/>
    <mergeCell ref="B3:L3"/>
    <mergeCell ref="B4:C4"/>
    <mergeCell ref="D4:E4"/>
    <mergeCell ref="F4:G4"/>
    <mergeCell ref="K4:K6"/>
    <mergeCell ref="L4:L6"/>
    <mergeCell ref="A5:A6"/>
    <mergeCell ref="B5:B6"/>
    <mergeCell ref="C5:C6"/>
    <mergeCell ref="D5:E5"/>
    <mergeCell ref="F5:G5"/>
    <mergeCell ref="H5:H6"/>
    <mergeCell ref="I5:I6"/>
  </mergeCells>
  <hyperlinks>
    <hyperlink ref="A1" location="'Objetos de Dominio'!A1" display="Volver al inicio" xr:uid="{D5FA1EFC-B28E-4601-8366-0CDF351AFBE6}"/>
    <hyperlink ref="A1:M1" location="'Listado Objetos de Dominio'!A1" display="&lt;-Volver al inicio" xr:uid="{42F260A9-D97C-4E18-B5D1-931D96FEACF2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E3F2E-B5B4-4E57-98F7-F43C47B1449B}">
  <dimension ref="A1:M18"/>
  <sheetViews>
    <sheetView workbookViewId="0">
      <pane ySplit="2" topLeftCell="A3" activePane="bottomLeft" state="frozen"/>
      <selection pane="bottomLeft"/>
    </sheetView>
  </sheetViews>
  <sheetFormatPr defaultColWidth="11.42578125" defaultRowHeight="15"/>
  <cols>
    <col min="1" max="1" width="23.85546875" style="1" bestFit="1" customWidth="1"/>
    <col min="2" max="2" width="36.7109375" style="1" customWidth="1"/>
    <col min="3" max="3" width="61.140625" style="1" customWidth="1"/>
    <col min="4" max="4" width="31.7109375" style="1" customWidth="1"/>
    <col min="5" max="5" width="43.7109375" style="1" customWidth="1"/>
    <col min="6" max="6" width="38.42578125" style="1" customWidth="1"/>
    <col min="7" max="7" width="69.5703125" style="1" customWidth="1"/>
    <col min="8" max="8" width="37.5703125" style="1" customWidth="1"/>
    <col min="9" max="9" width="28.5703125" style="1" bestFit="1" customWidth="1"/>
    <col min="10" max="10" width="82.28515625" style="1" customWidth="1"/>
    <col min="11" max="11" width="51.28515625" style="1" customWidth="1"/>
    <col min="12" max="12" width="62.85546875" style="1" customWidth="1"/>
    <col min="13" max="13" width="19.28515625" style="1" bestFit="1" customWidth="1"/>
    <col min="14" max="14" width="132.5703125" style="1" bestFit="1" customWidth="1"/>
    <col min="15" max="15" width="46.42578125" style="1" bestFit="1" customWidth="1"/>
    <col min="16" max="16" width="50.140625" style="1" bestFit="1" customWidth="1"/>
    <col min="17" max="17" width="66.85546875" style="1" bestFit="1" customWidth="1"/>
    <col min="18" max="18" width="52.28515625" style="1" bestFit="1" customWidth="1"/>
    <col min="19" max="16384" width="11.42578125" style="1"/>
  </cols>
  <sheetData>
    <row r="1" spans="1:13" ht="15.75" customHeight="1" thickBot="1">
      <c r="A1" s="89" t="s">
        <v>55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3" ht="25.5" customHeight="1">
      <c r="A2" s="5" t="s">
        <v>56</v>
      </c>
      <c r="B2" s="82" t="str">
        <f>'Listado Objetos de Dominio'!$A$22</f>
        <v>Estado Envio</v>
      </c>
      <c r="C2" s="82"/>
      <c r="D2" s="82"/>
      <c r="E2" s="82"/>
      <c r="F2" s="82"/>
      <c r="G2" s="82"/>
      <c r="H2" s="82"/>
      <c r="I2" s="82"/>
      <c r="J2" s="82"/>
      <c r="K2" s="82"/>
      <c r="L2" s="83"/>
      <c r="M2" s="3"/>
    </row>
    <row r="3" spans="1:13" ht="29.25" customHeight="1">
      <c r="A3" s="6" t="s">
        <v>57</v>
      </c>
      <c r="B3" s="84" t="str">
        <f>'Listado Objetos de Dominio'!$B$22</f>
        <v>Objeto de dominio que representa cada estado de envio de una venta</v>
      </c>
      <c r="C3" s="84"/>
      <c r="D3" s="84"/>
      <c r="E3" s="84"/>
      <c r="F3" s="84"/>
      <c r="G3" s="84"/>
      <c r="H3" s="84"/>
      <c r="I3" s="84"/>
      <c r="J3" s="84"/>
      <c r="K3" s="84"/>
      <c r="L3" s="85"/>
      <c r="M3" s="4"/>
    </row>
    <row r="4" spans="1:13" ht="15.75" customHeight="1">
      <c r="A4" s="8" t="s">
        <v>58</v>
      </c>
      <c r="B4" s="74" t="s">
        <v>59</v>
      </c>
      <c r="C4" s="74"/>
      <c r="D4" s="86" t="s">
        <v>60</v>
      </c>
      <c r="E4" s="86"/>
      <c r="F4" s="77" t="s">
        <v>61</v>
      </c>
      <c r="G4" s="77"/>
      <c r="H4" s="10" t="s">
        <v>62</v>
      </c>
      <c r="I4" s="11" t="s">
        <v>63</v>
      </c>
      <c r="J4" s="19" t="s">
        <v>64</v>
      </c>
      <c r="K4" s="80" t="s">
        <v>65</v>
      </c>
      <c r="L4" s="81" t="s">
        <v>66</v>
      </c>
      <c r="M4" s="4"/>
    </row>
    <row r="5" spans="1:13">
      <c r="A5" s="73" t="s">
        <v>58</v>
      </c>
      <c r="B5" s="74" t="s">
        <v>67</v>
      </c>
      <c r="C5" s="74" t="s">
        <v>1</v>
      </c>
      <c r="D5" s="86" t="s">
        <v>68</v>
      </c>
      <c r="E5" s="86"/>
      <c r="F5" s="75" t="s">
        <v>69</v>
      </c>
      <c r="G5" s="75"/>
      <c r="H5" s="78" t="s">
        <v>70</v>
      </c>
      <c r="I5" s="79" t="s">
        <v>71</v>
      </c>
      <c r="J5" s="76" t="s">
        <v>72</v>
      </c>
      <c r="K5" s="80"/>
      <c r="L5" s="81"/>
    </row>
    <row r="6" spans="1:13">
      <c r="A6" s="73"/>
      <c r="B6" s="74"/>
      <c r="C6" s="74"/>
      <c r="D6" s="18" t="s">
        <v>73</v>
      </c>
      <c r="E6" s="18" t="s">
        <v>1</v>
      </c>
      <c r="F6" s="7" t="s">
        <v>74</v>
      </c>
      <c r="G6" s="7" t="s">
        <v>1</v>
      </c>
      <c r="H6" s="78"/>
      <c r="I6" s="79"/>
      <c r="J6" s="76"/>
      <c r="K6" s="80"/>
      <c r="L6" s="81"/>
    </row>
    <row r="7" spans="1:13">
      <c r="A7" s="46" t="s">
        <v>13</v>
      </c>
      <c r="B7" s="46" t="s">
        <v>341</v>
      </c>
      <c r="C7" s="46" t="s">
        <v>511</v>
      </c>
      <c r="D7" s="46" t="s">
        <v>444</v>
      </c>
      <c r="E7" s="46" t="s">
        <v>444</v>
      </c>
      <c r="F7" s="46" t="s">
        <v>512</v>
      </c>
      <c r="G7" s="46" t="s">
        <v>513</v>
      </c>
      <c r="H7" s="46" t="s">
        <v>444</v>
      </c>
      <c r="I7" s="46" t="s">
        <v>514</v>
      </c>
      <c r="J7" s="46" t="s">
        <v>515</v>
      </c>
      <c r="K7" s="46" t="s">
        <v>81</v>
      </c>
      <c r="L7" s="46" t="s">
        <v>81</v>
      </c>
    </row>
    <row r="8" spans="1:1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12" spans="1:1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</row>
    <row r="13" spans="1:13">
      <c r="A13"/>
      <c r="B13"/>
      <c r="C13"/>
      <c r="D13"/>
      <c r="E13"/>
      <c r="F13"/>
      <c r="G13"/>
      <c r="H13"/>
      <c r="I13"/>
      <c r="J13"/>
      <c r="K13"/>
      <c r="L13"/>
    </row>
    <row r="14" spans="1:13">
      <c r="A14"/>
      <c r="B14"/>
      <c r="C14"/>
      <c r="D14"/>
      <c r="E14"/>
      <c r="F14"/>
      <c r="G14"/>
      <c r="H14"/>
      <c r="I14"/>
      <c r="J14"/>
      <c r="K14"/>
      <c r="L14"/>
    </row>
    <row r="15" spans="1:13">
      <c r="A15"/>
      <c r="B15"/>
      <c r="C15"/>
      <c r="D15"/>
      <c r="E15"/>
      <c r="F15"/>
      <c r="G15"/>
      <c r="H15"/>
      <c r="I15"/>
      <c r="J15"/>
      <c r="K15"/>
      <c r="L15"/>
    </row>
    <row r="16" spans="1:13">
      <c r="A16"/>
      <c r="B16"/>
      <c r="C16"/>
      <c r="D16"/>
      <c r="E16"/>
      <c r="F16"/>
      <c r="G16"/>
      <c r="H16"/>
      <c r="I16"/>
      <c r="J16"/>
      <c r="K16"/>
      <c r="L16"/>
    </row>
    <row r="17" spans="1:12">
      <c r="A17"/>
      <c r="B17"/>
      <c r="C17"/>
      <c r="D17"/>
      <c r="E17"/>
      <c r="F17"/>
      <c r="G17"/>
      <c r="H17"/>
      <c r="I17"/>
      <c r="J17"/>
      <c r="K17"/>
      <c r="L17"/>
    </row>
    <row r="18" spans="1:12">
      <c r="A18"/>
      <c r="B18"/>
      <c r="C18"/>
      <c r="D18"/>
      <c r="E18"/>
      <c r="F18"/>
      <c r="G18"/>
      <c r="H18"/>
      <c r="I18"/>
      <c r="J18"/>
      <c r="K18"/>
      <c r="L18"/>
    </row>
  </sheetData>
  <mergeCells count="16">
    <mergeCell ref="J5:J6"/>
    <mergeCell ref="A1:M1"/>
    <mergeCell ref="B2:L2"/>
    <mergeCell ref="B3:L3"/>
    <mergeCell ref="B4:C4"/>
    <mergeCell ref="D4:E4"/>
    <mergeCell ref="F4:G4"/>
    <mergeCell ref="K4:K6"/>
    <mergeCell ref="L4:L6"/>
    <mergeCell ref="A5:A6"/>
    <mergeCell ref="B5:B6"/>
    <mergeCell ref="C5:C6"/>
    <mergeCell ref="D5:E5"/>
    <mergeCell ref="F5:G5"/>
    <mergeCell ref="H5:H6"/>
    <mergeCell ref="I5:I6"/>
  </mergeCells>
  <hyperlinks>
    <hyperlink ref="A1" location="'Objetos de Dominio'!A1" display="Volver al inicio" xr:uid="{62F11AD9-3153-4271-A563-D8C19FA68A7A}"/>
    <hyperlink ref="A1:M1" location="'Listado Objetos de Dominio'!A1" display="&lt;-Volver al inicio" xr:uid="{EF90F465-AF43-4658-A002-190D07724EF8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D2C7A-6820-4DA4-A534-46820C9A55FA}">
  <dimension ref="A1:M11"/>
  <sheetViews>
    <sheetView workbookViewId="0">
      <pane ySplit="2" topLeftCell="A3" activePane="bottomLeft" state="frozen"/>
      <selection pane="bottomLeft" activeCell="C11" sqref="C11"/>
    </sheetView>
  </sheetViews>
  <sheetFormatPr defaultColWidth="11.42578125" defaultRowHeight="15"/>
  <cols>
    <col min="1" max="1" width="23.85546875" style="1" bestFit="1" customWidth="1"/>
    <col min="2" max="2" width="36.7109375" style="1" customWidth="1"/>
    <col min="3" max="3" width="61.140625" style="1" customWidth="1"/>
    <col min="4" max="4" width="31.7109375" style="1" customWidth="1"/>
    <col min="5" max="5" width="43.7109375" style="1" customWidth="1"/>
    <col min="6" max="6" width="38.42578125" style="1" customWidth="1"/>
    <col min="7" max="7" width="69.5703125" style="1" customWidth="1"/>
    <col min="8" max="8" width="37.5703125" style="1" customWidth="1"/>
    <col min="9" max="9" width="28.5703125" style="1" bestFit="1" customWidth="1"/>
    <col min="10" max="10" width="82.28515625" style="1" customWidth="1"/>
    <col min="11" max="11" width="51.28515625" style="1" customWidth="1"/>
    <col min="12" max="12" width="62.85546875" style="1" customWidth="1"/>
    <col min="13" max="13" width="19.28515625" style="1" bestFit="1" customWidth="1"/>
    <col min="14" max="14" width="132.5703125" style="1" bestFit="1" customWidth="1"/>
    <col min="15" max="15" width="46.42578125" style="1" bestFit="1" customWidth="1"/>
    <col min="16" max="16" width="50.140625" style="1" bestFit="1" customWidth="1"/>
    <col min="17" max="17" width="66.85546875" style="1" bestFit="1" customWidth="1"/>
    <col min="18" max="18" width="52.28515625" style="1" bestFit="1" customWidth="1"/>
    <col min="19" max="16384" width="11.42578125" style="1"/>
  </cols>
  <sheetData>
    <row r="1" spans="1:13" ht="15.75" customHeight="1" thickBot="1">
      <c r="A1" s="89" t="s">
        <v>55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3" ht="25.5" customHeight="1">
      <c r="A2" s="5" t="s">
        <v>56</v>
      </c>
      <c r="B2" s="82" t="str">
        <f>'Listado Objetos de Dominio'!$A$23</f>
        <v>Pago</v>
      </c>
      <c r="C2" s="82"/>
      <c r="D2" s="82"/>
      <c r="E2" s="82"/>
      <c r="F2" s="82"/>
      <c r="G2" s="82"/>
      <c r="H2" s="82"/>
      <c r="I2" s="82"/>
      <c r="J2" s="82"/>
      <c r="K2" s="82"/>
      <c r="L2" s="83"/>
      <c r="M2" s="3"/>
    </row>
    <row r="3" spans="1:13" ht="29.25" customHeight="1">
      <c r="A3" s="6" t="s">
        <v>57</v>
      </c>
      <c r="B3" s="84" t="str">
        <f>'Listado Objetos de Dominio'!$B$23</f>
        <v>Objeto de dominio que representa el pago a una venta</v>
      </c>
      <c r="C3" s="84"/>
      <c r="D3" s="84"/>
      <c r="E3" s="84"/>
      <c r="F3" s="84"/>
      <c r="G3" s="84"/>
      <c r="H3" s="84"/>
      <c r="I3" s="84"/>
      <c r="J3" s="84"/>
      <c r="K3" s="84"/>
      <c r="L3" s="85"/>
      <c r="M3" s="4"/>
    </row>
    <row r="4" spans="1:13" ht="15.75" customHeight="1">
      <c r="A4" s="8" t="s">
        <v>58</v>
      </c>
      <c r="B4" s="74" t="s">
        <v>59</v>
      </c>
      <c r="C4" s="74"/>
      <c r="D4" s="86" t="s">
        <v>60</v>
      </c>
      <c r="E4" s="86"/>
      <c r="F4" s="77" t="s">
        <v>61</v>
      </c>
      <c r="G4" s="77"/>
      <c r="H4" s="10" t="s">
        <v>62</v>
      </c>
      <c r="I4" s="11" t="s">
        <v>63</v>
      </c>
      <c r="J4" s="19" t="s">
        <v>64</v>
      </c>
      <c r="K4" s="80" t="s">
        <v>65</v>
      </c>
      <c r="L4" s="81" t="s">
        <v>66</v>
      </c>
      <c r="M4" s="4"/>
    </row>
    <row r="5" spans="1:13">
      <c r="A5" s="73" t="s">
        <v>58</v>
      </c>
      <c r="B5" s="74" t="s">
        <v>67</v>
      </c>
      <c r="C5" s="74" t="s">
        <v>1</v>
      </c>
      <c r="D5" s="86" t="s">
        <v>68</v>
      </c>
      <c r="E5" s="86"/>
      <c r="F5" s="75" t="s">
        <v>69</v>
      </c>
      <c r="G5" s="75"/>
      <c r="H5" s="78" t="s">
        <v>70</v>
      </c>
      <c r="I5" s="79" t="s">
        <v>71</v>
      </c>
      <c r="J5" s="76" t="s">
        <v>72</v>
      </c>
      <c r="K5" s="80"/>
      <c r="L5" s="81"/>
    </row>
    <row r="6" spans="1:13">
      <c r="A6" s="73"/>
      <c r="B6" s="74"/>
      <c r="C6" s="74"/>
      <c r="D6" s="18" t="s">
        <v>73</v>
      </c>
      <c r="E6" s="18" t="s">
        <v>1</v>
      </c>
      <c r="F6" s="7" t="s">
        <v>74</v>
      </c>
      <c r="G6" s="7" t="s">
        <v>1</v>
      </c>
      <c r="H6" s="78"/>
      <c r="I6" s="79"/>
      <c r="J6" s="76"/>
      <c r="K6" s="80"/>
      <c r="L6" s="81"/>
    </row>
    <row r="7" spans="1:13" ht="30.75">
      <c r="A7" s="46" t="s">
        <v>88</v>
      </c>
      <c r="B7" s="46" t="s">
        <v>516</v>
      </c>
      <c r="C7" s="46" t="s">
        <v>517</v>
      </c>
      <c r="D7" s="46" t="s">
        <v>518</v>
      </c>
      <c r="E7" s="46" t="s">
        <v>519</v>
      </c>
      <c r="F7" s="46" t="s">
        <v>520</v>
      </c>
      <c r="G7" s="46" t="s">
        <v>521</v>
      </c>
      <c r="H7" s="46" t="s">
        <v>343</v>
      </c>
      <c r="I7" s="46" t="s">
        <v>522</v>
      </c>
      <c r="J7" s="46" t="s">
        <v>523</v>
      </c>
      <c r="K7" s="46" t="s">
        <v>524</v>
      </c>
      <c r="L7" s="46" t="s">
        <v>525</v>
      </c>
    </row>
    <row r="8" spans="1:13" ht="30.75">
      <c r="A8" s="46" t="s">
        <v>88</v>
      </c>
      <c r="B8" s="46" t="s">
        <v>526</v>
      </c>
      <c r="C8" s="46" t="s">
        <v>527</v>
      </c>
      <c r="D8" s="46" t="s">
        <v>528</v>
      </c>
      <c r="E8" s="46" t="s">
        <v>529</v>
      </c>
      <c r="F8" s="46" t="s">
        <v>530</v>
      </c>
      <c r="G8" s="46" t="s">
        <v>531</v>
      </c>
      <c r="H8" s="46" t="s">
        <v>343</v>
      </c>
      <c r="I8" s="46" t="s">
        <v>532</v>
      </c>
      <c r="J8" s="46"/>
      <c r="K8" s="46" t="s">
        <v>524</v>
      </c>
      <c r="L8" s="46" t="s">
        <v>525</v>
      </c>
    </row>
    <row r="9" spans="1:13" ht="30.75">
      <c r="A9" s="46" t="s">
        <v>88</v>
      </c>
      <c r="B9" s="46" t="s">
        <v>525</v>
      </c>
      <c r="C9" s="46" t="s">
        <v>533</v>
      </c>
      <c r="D9" s="46" t="s">
        <v>534</v>
      </c>
      <c r="E9" s="46" t="s">
        <v>535</v>
      </c>
      <c r="F9" s="46" t="s">
        <v>536</v>
      </c>
      <c r="G9" s="46" t="s">
        <v>537</v>
      </c>
      <c r="H9" s="46" t="s">
        <v>343</v>
      </c>
      <c r="I9" s="46" t="s">
        <v>538</v>
      </c>
      <c r="J9" s="46" t="s">
        <v>539</v>
      </c>
      <c r="K9" s="46" t="s">
        <v>524</v>
      </c>
      <c r="L9" s="46"/>
    </row>
    <row r="10" spans="1:13" ht="30.75">
      <c r="A10" s="46" t="s">
        <v>88</v>
      </c>
      <c r="B10" s="46" t="s">
        <v>540</v>
      </c>
      <c r="C10" s="46" t="s">
        <v>541</v>
      </c>
      <c r="D10" s="46" t="s">
        <v>534</v>
      </c>
      <c r="E10" s="46" t="s">
        <v>542</v>
      </c>
      <c r="F10" s="46" t="s">
        <v>543</v>
      </c>
      <c r="G10" s="46" t="s">
        <v>544</v>
      </c>
      <c r="H10" s="46" t="s">
        <v>343</v>
      </c>
      <c r="I10" s="46" t="s">
        <v>545</v>
      </c>
      <c r="J10" s="46"/>
      <c r="K10" s="46" t="s">
        <v>522</v>
      </c>
      <c r="L10" s="46" t="s">
        <v>525</v>
      </c>
    </row>
    <row r="11" spans="1:13">
      <c r="A11"/>
      <c r="B11"/>
      <c r="C11"/>
      <c r="D11"/>
      <c r="E11"/>
      <c r="F11"/>
      <c r="G11"/>
      <c r="H11"/>
      <c r="I11"/>
      <c r="J11"/>
      <c r="K11"/>
      <c r="L11"/>
    </row>
  </sheetData>
  <mergeCells count="16">
    <mergeCell ref="J5:J6"/>
    <mergeCell ref="A1:M1"/>
    <mergeCell ref="B2:L2"/>
    <mergeCell ref="B3:L3"/>
    <mergeCell ref="B4:C4"/>
    <mergeCell ref="D4:E4"/>
    <mergeCell ref="F4:G4"/>
    <mergeCell ref="K4:K6"/>
    <mergeCell ref="L4:L6"/>
    <mergeCell ref="A5:A6"/>
    <mergeCell ref="B5:B6"/>
    <mergeCell ref="C5:C6"/>
    <mergeCell ref="D5:E5"/>
    <mergeCell ref="F5:G5"/>
    <mergeCell ref="H5:H6"/>
    <mergeCell ref="I5:I6"/>
  </mergeCells>
  <hyperlinks>
    <hyperlink ref="A1" location="'Objetos de Dominio'!A1" display="Volver al inicio" xr:uid="{06C6701B-7D0C-4591-8AAE-6CB0795A19FE}"/>
    <hyperlink ref="A1:M1" location="'Listado Objetos de Dominio'!A1" display="&lt;-Volver al inicio" xr:uid="{35D213FA-8FB9-46B1-861D-4C18F99C1F5C}"/>
  </hyperlink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B32BD-36EE-4306-833B-70273496438C}">
  <dimension ref="A1:M17"/>
  <sheetViews>
    <sheetView workbookViewId="0">
      <pane ySplit="2" topLeftCell="A3" activePane="bottomLeft" state="frozen"/>
      <selection pane="bottomLeft" activeCell="B12" sqref="B12"/>
    </sheetView>
  </sheetViews>
  <sheetFormatPr defaultColWidth="11.42578125" defaultRowHeight="15"/>
  <cols>
    <col min="1" max="1" width="23.85546875" style="1" bestFit="1" customWidth="1"/>
    <col min="2" max="2" width="36.7109375" style="1" customWidth="1"/>
    <col min="3" max="3" width="61.140625" style="1" customWidth="1"/>
    <col min="4" max="4" width="31.7109375" style="1" customWidth="1"/>
    <col min="5" max="5" width="43.7109375" style="1" customWidth="1"/>
    <col min="6" max="6" width="38.42578125" style="1" customWidth="1"/>
    <col min="7" max="7" width="69.5703125" style="1" customWidth="1"/>
    <col min="8" max="8" width="37.5703125" style="1" customWidth="1"/>
    <col min="9" max="9" width="28.5703125" style="1" bestFit="1" customWidth="1"/>
    <col min="10" max="10" width="82.28515625" style="1" customWidth="1"/>
    <col min="11" max="11" width="51.28515625" style="1" customWidth="1"/>
    <col min="12" max="12" width="62.85546875" style="1" customWidth="1"/>
    <col min="13" max="13" width="19.28515625" style="1" bestFit="1" customWidth="1"/>
    <col min="14" max="14" width="132.5703125" style="1" bestFit="1" customWidth="1"/>
    <col min="15" max="15" width="46.42578125" style="1" bestFit="1" customWidth="1"/>
    <col min="16" max="16" width="50.140625" style="1" bestFit="1" customWidth="1"/>
    <col min="17" max="17" width="66.85546875" style="1" bestFit="1" customWidth="1"/>
    <col min="18" max="18" width="52.28515625" style="1" bestFit="1" customWidth="1"/>
    <col min="19" max="16384" width="11.42578125" style="1"/>
  </cols>
  <sheetData>
    <row r="1" spans="1:13" ht="15.75" customHeight="1" thickBot="1">
      <c r="A1" s="89" t="s">
        <v>55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3" ht="25.5" customHeight="1">
      <c r="A2" s="5" t="s">
        <v>56</v>
      </c>
      <c r="B2" s="82" t="str">
        <f>'Listado Objetos de Dominio'!$A$24</f>
        <v>Forma de pago</v>
      </c>
      <c r="C2" s="82"/>
      <c r="D2" s="82"/>
      <c r="E2" s="82"/>
      <c r="F2" s="82"/>
      <c r="G2" s="82"/>
      <c r="H2" s="82"/>
      <c r="I2" s="82"/>
      <c r="J2" s="82"/>
      <c r="K2" s="82"/>
      <c r="L2" s="83"/>
      <c r="M2" s="3"/>
    </row>
    <row r="3" spans="1:13" ht="29.25" customHeight="1">
      <c r="A3" s="6" t="s">
        <v>57</v>
      </c>
      <c r="B3" s="84" t="str">
        <f>'Listado Objetos de Dominio'!$B$24</f>
        <v>Objeto de dominio que representa las diferentes formas de pago</v>
      </c>
      <c r="C3" s="84"/>
      <c r="D3" s="84"/>
      <c r="E3" s="84"/>
      <c r="F3" s="84"/>
      <c r="G3" s="84"/>
      <c r="H3" s="84"/>
      <c r="I3" s="84"/>
      <c r="J3" s="84"/>
      <c r="K3" s="84"/>
      <c r="L3" s="85"/>
      <c r="M3" s="4"/>
    </row>
    <row r="4" spans="1:13" ht="15.75" customHeight="1">
      <c r="A4" s="8" t="s">
        <v>58</v>
      </c>
      <c r="B4" s="74" t="s">
        <v>59</v>
      </c>
      <c r="C4" s="74"/>
      <c r="D4" s="86" t="s">
        <v>60</v>
      </c>
      <c r="E4" s="86"/>
      <c r="F4" s="77" t="s">
        <v>61</v>
      </c>
      <c r="G4" s="77"/>
      <c r="H4" s="10" t="s">
        <v>62</v>
      </c>
      <c r="I4" s="11" t="s">
        <v>63</v>
      </c>
      <c r="J4" s="19" t="s">
        <v>64</v>
      </c>
      <c r="K4" s="80" t="s">
        <v>65</v>
      </c>
      <c r="L4" s="81" t="s">
        <v>66</v>
      </c>
      <c r="M4" s="4"/>
    </row>
    <row r="5" spans="1:13">
      <c r="A5" s="73" t="s">
        <v>58</v>
      </c>
      <c r="B5" s="74" t="s">
        <v>67</v>
      </c>
      <c r="C5" s="74" t="s">
        <v>1</v>
      </c>
      <c r="D5" s="86" t="s">
        <v>68</v>
      </c>
      <c r="E5" s="86"/>
      <c r="F5" s="75" t="s">
        <v>69</v>
      </c>
      <c r="G5" s="75"/>
      <c r="H5" s="78" t="s">
        <v>70</v>
      </c>
      <c r="I5" s="79" t="s">
        <v>71</v>
      </c>
      <c r="J5" s="76" t="s">
        <v>72</v>
      </c>
      <c r="K5" s="80"/>
      <c r="L5" s="81"/>
    </row>
    <row r="6" spans="1:13">
      <c r="A6" s="73"/>
      <c r="B6" s="74"/>
      <c r="C6" s="74"/>
      <c r="D6" s="18" t="s">
        <v>73</v>
      </c>
      <c r="E6" s="18" t="s">
        <v>1</v>
      </c>
      <c r="F6" s="7" t="s">
        <v>74</v>
      </c>
      <c r="G6" s="7" t="s">
        <v>1</v>
      </c>
      <c r="H6" s="78"/>
      <c r="I6" s="79"/>
      <c r="J6" s="76"/>
      <c r="K6" s="80"/>
      <c r="L6" s="81"/>
    </row>
    <row r="7" spans="1:13">
      <c r="A7" s="13" t="s">
        <v>88</v>
      </c>
      <c r="B7" s="56" t="s">
        <v>546</v>
      </c>
      <c r="C7" s="56" t="s">
        <v>547</v>
      </c>
      <c r="D7" s="69" t="s">
        <v>343</v>
      </c>
      <c r="E7" s="56" t="s">
        <v>548</v>
      </c>
      <c r="F7" s="56" t="s">
        <v>549</v>
      </c>
      <c r="G7" s="56" t="s">
        <v>550</v>
      </c>
      <c r="H7" s="56" t="s">
        <v>306</v>
      </c>
      <c r="I7" s="56" t="s">
        <v>551</v>
      </c>
      <c r="J7" s="56"/>
      <c r="K7" s="56"/>
      <c r="L7" s="56" t="s">
        <v>552</v>
      </c>
    </row>
    <row r="11" spans="1:13">
      <c r="A11"/>
      <c r="B11"/>
      <c r="C11"/>
      <c r="D11"/>
      <c r="E11"/>
      <c r="F11"/>
      <c r="G11"/>
      <c r="H11"/>
      <c r="I11"/>
      <c r="J11"/>
      <c r="L11" s="21"/>
    </row>
    <row r="12" spans="1:13">
      <c r="A12"/>
      <c r="B12"/>
      <c r="C12" s="25"/>
      <c r="D12"/>
      <c r="E12"/>
      <c r="F12"/>
      <c r="G12"/>
      <c r="H12"/>
      <c r="I12"/>
      <c r="J12"/>
      <c r="K12"/>
      <c r="L12"/>
    </row>
    <row r="13" spans="1:13">
      <c r="A13"/>
      <c r="B13"/>
      <c r="C13"/>
      <c r="D13"/>
      <c r="E13"/>
      <c r="F13"/>
      <c r="G13"/>
      <c r="H13"/>
      <c r="I13"/>
      <c r="J13"/>
      <c r="K13"/>
      <c r="L13"/>
    </row>
    <row r="14" spans="1:13">
      <c r="A14"/>
      <c r="B14"/>
      <c r="C14"/>
      <c r="D14"/>
      <c r="E14"/>
      <c r="F14"/>
      <c r="G14"/>
      <c r="H14"/>
      <c r="I14"/>
      <c r="J14"/>
      <c r="K14"/>
      <c r="L14"/>
    </row>
    <row r="15" spans="1:13">
      <c r="A15"/>
      <c r="B15"/>
      <c r="C15"/>
      <c r="D15"/>
      <c r="E15"/>
      <c r="F15"/>
      <c r="G15"/>
      <c r="H15"/>
      <c r="I15"/>
      <c r="J15"/>
      <c r="K15"/>
      <c r="L15"/>
    </row>
    <row r="16" spans="1:13">
      <c r="A16"/>
      <c r="B16"/>
      <c r="C16"/>
      <c r="D16"/>
      <c r="E16"/>
      <c r="F16"/>
      <c r="G16"/>
      <c r="H16"/>
      <c r="I16"/>
      <c r="J16"/>
      <c r="K16"/>
      <c r="L16"/>
    </row>
    <row r="17" spans="1:12">
      <c r="A17"/>
      <c r="B17"/>
      <c r="C17"/>
      <c r="D17"/>
      <c r="E17"/>
      <c r="F17"/>
      <c r="G17"/>
      <c r="H17"/>
      <c r="I17"/>
      <c r="J17"/>
      <c r="K17"/>
      <c r="L17"/>
    </row>
  </sheetData>
  <mergeCells count="16">
    <mergeCell ref="J5:J6"/>
    <mergeCell ref="A1:M1"/>
    <mergeCell ref="B2:L2"/>
    <mergeCell ref="B3:L3"/>
    <mergeCell ref="B4:C4"/>
    <mergeCell ref="D4:E4"/>
    <mergeCell ref="F4:G4"/>
    <mergeCell ref="K4:K6"/>
    <mergeCell ref="L4:L6"/>
    <mergeCell ref="A5:A6"/>
    <mergeCell ref="B5:B6"/>
    <mergeCell ref="C5:C6"/>
    <mergeCell ref="D5:E5"/>
    <mergeCell ref="F5:G5"/>
    <mergeCell ref="H5:H6"/>
    <mergeCell ref="I5:I6"/>
  </mergeCells>
  <hyperlinks>
    <hyperlink ref="A1" location="'Objetos de Dominio'!A1" display="Volver al inicio" xr:uid="{AF1B039F-81CC-44BE-A329-1EBB66160696}"/>
    <hyperlink ref="A1:M1" location="'Listado Objetos de Dominio'!A1" display="&lt;-Volver al inicio" xr:uid="{0F53979A-696E-4429-9CF5-4E010792BF2A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581CB-8856-4EC2-8E5E-B44FCAF6A1EE}">
  <dimension ref="A1:M8"/>
  <sheetViews>
    <sheetView tabSelected="1" workbookViewId="0">
      <pane ySplit="2" topLeftCell="A3" activePane="bottomLeft" state="frozen"/>
      <selection pane="bottomLeft" activeCell="B13" sqref="B13"/>
    </sheetView>
  </sheetViews>
  <sheetFormatPr defaultColWidth="11.42578125" defaultRowHeight="15"/>
  <cols>
    <col min="1" max="1" width="23.85546875" style="1" bestFit="1" customWidth="1"/>
    <col min="2" max="2" width="36.7109375" style="1" customWidth="1"/>
    <col min="3" max="3" width="61.140625" style="1" customWidth="1"/>
    <col min="4" max="4" width="31.7109375" style="1" customWidth="1"/>
    <col min="5" max="5" width="43.7109375" style="1" customWidth="1"/>
    <col min="6" max="6" width="38.42578125" style="1" customWidth="1"/>
    <col min="7" max="7" width="69.5703125" style="1" customWidth="1"/>
    <col min="8" max="8" width="37.5703125" style="1" customWidth="1"/>
    <col min="9" max="9" width="28.5703125" style="1" bestFit="1" customWidth="1"/>
    <col min="10" max="10" width="82.28515625" style="1" customWidth="1"/>
    <col min="11" max="11" width="51.28515625" style="1" customWidth="1"/>
    <col min="12" max="12" width="62.85546875" style="1" customWidth="1"/>
    <col min="13" max="13" width="19.28515625" style="1" bestFit="1" customWidth="1"/>
    <col min="14" max="14" width="132.5703125" style="1" bestFit="1" customWidth="1"/>
    <col min="15" max="15" width="46.42578125" style="1" bestFit="1" customWidth="1"/>
    <col min="16" max="16" width="50.140625" style="1" bestFit="1" customWidth="1"/>
    <col min="17" max="17" width="66.85546875" style="1" bestFit="1" customWidth="1"/>
    <col min="18" max="18" width="52.28515625" style="1" bestFit="1" customWidth="1"/>
    <col min="19" max="16384" width="11.42578125" style="1"/>
  </cols>
  <sheetData>
    <row r="1" spans="1:13" ht="15.75" customHeight="1" thickBot="1">
      <c r="A1" s="89" t="s">
        <v>55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3" ht="25.5" customHeight="1">
      <c r="A2" s="5" t="s">
        <v>56</v>
      </c>
      <c r="B2" s="82" t="str">
        <f>'Listado Objetos de Dominio'!$A$25</f>
        <v>Estado Venta</v>
      </c>
      <c r="C2" s="82"/>
      <c r="D2" s="82"/>
      <c r="E2" s="82"/>
      <c r="F2" s="82"/>
      <c r="G2" s="82"/>
      <c r="H2" s="82"/>
      <c r="I2" s="82"/>
      <c r="J2" s="82"/>
      <c r="K2" s="82"/>
      <c r="L2" s="83"/>
      <c r="M2" s="3"/>
    </row>
    <row r="3" spans="1:13" ht="29.25" customHeight="1">
      <c r="A3" s="6" t="s">
        <v>57</v>
      </c>
      <c r="B3" s="84" t="str">
        <f>'Listado Objetos de Dominio'!$B$25</f>
        <v>Objeto de dominio que representa los diferentes Estados de venta</v>
      </c>
      <c r="C3" s="84"/>
      <c r="D3" s="84"/>
      <c r="E3" s="84"/>
      <c r="F3" s="84"/>
      <c r="G3" s="84"/>
      <c r="H3" s="84"/>
      <c r="I3" s="84"/>
      <c r="J3" s="84"/>
      <c r="K3" s="84"/>
      <c r="L3" s="85"/>
      <c r="M3" s="4"/>
    </row>
    <row r="4" spans="1:13" ht="15.75" customHeight="1">
      <c r="A4" s="8" t="s">
        <v>58</v>
      </c>
      <c r="B4" s="74" t="s">
        <v>59</v>
      </c>
      <c r="C4" s="74"/>
      <c r="D4" s="86" t="s">
        <v>60</v>
      </c>
      <c r="E4" s="86"/>
      <c r="F4" s="77" t="s">
        <v>61</v>
      </c>
      <c r="G4" s="77"/>
      <c r="H4" s="10" t="s">
        <v>62</v>
      </c>
      <c r="I4" s="11" t="s">
        <v>63</v>
      </c>
      <c r="J4" s="19" t="s">
        <v>64</v>
      </c>
      <c r="K4" s="80" t="s">
        <v>65</v>
      </c>
      <c r="L4" s="81" t="s">
        <v>66</v>
      </c>
      <c r="M4" s="4"/>
    </row>
    <row r="5" spans="1:13">
      <c r="A5" s="73" t="s">
        <v>58</v>
      </c>
      <c r="B5" s="74" t="s">
        <v>67</v>
      </c>
      <c r="C5" s="74" t="s">
        <v>1</v>
      </c>
      <c r="D5" s="86" t="s">
        <v>68</v>
      </c>
      <c r="E5" s="86"/>
      <c r="F5" s="75" t="s">
        <v>69</v>
      </c>
      <c r="G5" s="75"/>
      <c r="H5" s="78" t="s">
        <v>70</v>
      </c>
      <c r="I5" s="79" t="s">
        <v>71</v>
      </c>
      <c r="J5" s="76" t="s">
        <v>72</v>
      </c>
      <c r="K5" s="80"/>
      <c r="L5" s="81"/>
    </row>
    <row r="6" spans="1:13">
      <c r="A6" s="73"/>
      <c r="B6" s="74"/>
      <c r="C6" s="74"/>
      <c r="D6" s="18" t="s">
        <v>73</v>
      </c>
      <c r="E6" s="18" t="s">
        <v>1</v>
      </c>
      <c r="F6" s="7" t="s">
        <v>74</v>
      </c>
      <c r="G6" s="7" t="s">
        <v>1</v>
      </c>
      <c r="H6" s="78"/>
      <c r="I6" s="79"/>
      <c r="J6" s="76"/>
      <c r="K6" s="80"/>
      <c r="L6" s="81"/>
    </row>
    <row r="7" spans="1:13" ht="30.75">
      <c r="A7" s="46" t="s">
        <v>88</v>
      </c>
      <c r="B7" s="46" t="s">
        <v>553</v>
      </c>
      <c r="C7" s="46" t="s">
        <v>554</v>
      </c>
      <c r="D7" s="46" t="s">
        <v>555</v>
      </c>
      <c r="E7" s="46" t="s">
        <v>556</v>
      </c>
      <c r="F7" s="46" t="s">
        <v>557</v>
      </c>
      <c r="G7" s="46" t="s">
        <v>558</v>
      </c>
      <c r="H7" s="46" t="s">
        <v>343</v>
      </c>
      <c r="I7" s="46" t="s">
        <v>346</v>
      </c>
      <c r="J7" s="46"/>
      <c r="K7" s="46" t="s">
        <v>343</v>
      </c>
      <c r="L7" s="46" t="s">
        <v>343</v>
      </c>
    </row>
    <row r="8" spans="1:13">
      <c r="A8"/>
      <c r="B8"/>
      <c r="C8"/>
      <c r="D8"/>
      <c r="E8"/>
      <c r="F8"/>
      <c r="G8"/>
      <c r="H8"/>
      <c r="I8"/>
      <c r="J8"/>
      <c r="K8"/>
      <c r="L8"/>
    </row>
  </sheetData>
  <mergeCells count="16">
    <mergeCell ref="J5:J6"/>
    <mergeCell ref="A1:M1"/>
    <mergeCell ref="B2:L2"/>
    <mergeCell ref="B3:L3"/>
    <mergeCell ref="B4:C4"/>
    <mergeCell ref="D4:E4"/>
    <mergeCell ref="F4:G4"/>
    <mergeCell ref="K4:K6"/>
    <mergeCell ref="L4:L6"/>
    <mergeCell ref="A5:A6"/>
    <mergeCell ref="B5:B6"/>
    <mergeCell ref="C5:C6"/>
    <mergeCell ref="D5:E5"/>
    <mergeCell ref="F5:G5"/>
    <mergeCell ref="H5:H6"/>
    <mergeCell ref="I5:I6"/>
  </mergeCells>
  <hyperlinks>
    <hyperlink ref="A1" location="'Objetos de Dominio'!A1" display="Volver al inicio" xr:uid="{B865353F-16F7-428B-8345-E5D4019C0B34}"/>
    <hyperlink ref="A1:M1" location="'Listado Objetos de Dominio'!A1" display="&lt;-Volver al inicio" xr:uid="{21E4859C-7D6F-424D-B522-518E73EBFB75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7EC4E-CC3E-4178-9C23-38C2E82A9914}">
  <dimension ref="A1:M9"/>
  <sheetViews>
    <sheetView zoomScale="115" zoomScaleNormal="115" workbookViewId="0">
      <pane ySplit="2" topLeftCell="A3" activePane="bottomLeft" state="frozen"/>
      <selection pane="bottomLeft" activeCell="K10" sqref="K10"/>
    </sheetView>
  </sheetViews>
  <sheetFormatPr defaultColWidth="11.42578125" defaultRowHeight="15"/>
  <cols>
    <col min="1" max="1" width="23.85546875" style="1" bestFit="1" customWidth="1"/>
    <col min="2" max="2" width="36.7109375" style="1" customWidth="1"/>
    <col min="3" max="3" width="61.140625" style="1" customWidth="1"/>
    <col min="4" max="4" width="31.7109375" style="1" customWidth="1"/>
    <col min="5" max="5" width="43.7109375" style="1" customWidth="1"/>
    <col min="6" max="6" width="38.42578125" style="1" customWidth="1"/>
    <col min="7" max="7" width="69.5703125" style="1" customWidth="1"/>
    <col min="8" max="8" width="37.5703125" style="1" customWidth="1"/>
    <col min="9" max="9" width="28.5703125" style="1" bestFit="1" customWidth="1"/>
    <col min="10" max="10" width="82.28515625" style="1" customWidth="1"/>
    <col min="11" max="11" width="51.28515625" style="1" customWidth="1"/>
    <col min="12" max="12" width="62.85546875" style="1" customWidth="1"/>
    <col min="13" max="13" width="19.28515625" style="1" bestFit="1" customWidth="1"/>
    <col min="14" max="14" width="132.5703125" style="1" bestFit="1" customWidth="1"/>
    <col min="15" max="15" width="46.42578125" style="1" bestFit="1" customWidth="1"/>
    <col min="16" max="16" width="50.140625" style="1" bestFit="1" customWidth="1"/>
    <col min="17" max="17" width="66.85546875" style="1" bestFit="1" customWidth="1"/>
    <col min="18" max="18" width="52.28515625" style="1" bestFit="1" customWidth="1"/>
    <col min="19" max="16384" width="11.42578125" style="1"/>
  </cols>
  <sheetData>
    <row r="1" spans="1:13" ht="15.75" customHeight="1" thickBot="1">
      <c r="A1" s="89" t="s">
        <v>55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3" ht="25.5" customHeight="1">
      <c r="A2" s="5" t="s">
        <v>56</v>
      </c>
      <c r="B2" s="82" t="str">
        <f>'Listado Objetos de Dominio'!$A$26</f>
        <v>Devolución</v>
      </c>
      <c r="C2" s="82"/>
      <c r="D2" s="82"/>
      <c r="E2" s="82"/>
      <c r="F2" s="82"/>
      <c r="G2" s="82"/>
      <c r="H2" s="82"/>
      <c r="I2" s="82"/>
      <c r="J2" s="82"/>
      <c r="K2" s="82"/>
      <c r="L2" s="83"/>
      <c r="M2" s="3"/>
    </row>
    <row r="3" spans="1:13" ht="29.25" customHeight="1">
      <c r="A3" s="6" t="s">
        <v>57</v>
      </c>
      <c r="B3" s="84" t="str">
        <f>'Listado Objetos de Dominio'!$B$26</f>
        <v>Registra la devolución total o parcial de productos de una Venta, con su motivo,y método de reembolso (si aplica) y el ajuste de inventario correspondiente.</v>
      </c>
      <c r="C3" s="84"/>
      <c r="D3" s="84"/>
      <c r="E3" s="84"/>
      <c r="F3" s="84"/>
      <c r="G3" s="84"/>
      <c r="H3" s="84"/>
      <c r="I3" s="84"/>
      <c r="J3" s="84"/>
      <c r="K3" s="84"/>
      <c r="L3" s="85"/>
      <c r="M3" s="4"/>
    </row>
    <row r="4" spans="1:13" ht="15.75" customHeight="1">
      <c r="A4" s="8" t="s">
        <v>58</v>
      </c>
      <c r="B4" s="74" t="s">
        <v>59</v>
      </c>
      <c r="C4" s="74"/>
      <c r="D4" s="86" t="s">
        <v>60</v>
      </c>
      <c r="E4" s="86"/>
      <c r="F4" s="77" t="s">
        <v>61</v>
      </c>
      <c r="G4" s="77"/>
      <c r="H4" s="10" t="s">
        <v>62</v>
      </c>
      <c r="I4" s="11" t="s">
        <v>63</v>
      </c>
      <c r="J4" s="19" t="s">
        <v>64</v>
      </c>
      <c r="K4" s="80" t="s">
        <v>65</v>
      </c>
      <c r="L4" s="81" t="s">
        <v>66</v>
      </c>
      <c r="M4" s="4"/>
    </row>
    <row r="5" spans="1:13">
      <c r="A5" s="73" t="s">
        <v>58</v>
      </c>
      <c r="B5" s="74" t="s">
        <v>67</v>
      </c>
      <c r="C5" s="74" t="s">
        <v>1</v>
      </c>
      <c r="D5" s="86" t="s">
        <v>68</v>
      </c>
      <c r="E5" s="86"/>
      <c r="F5" s="75" t="s">
        <v>69</v>
      </c>
      <c r="G5" s="75"/>
      <c r="H5" s="78" t="s">
        <v>70</v>
      </c>
      <c r="I5" s="79" t="s">
        <v>71</v>
      </c>
      <c r="J5" s="76" t="s">
        <v>72</v>
      </c>
      <c r="K5" s="80"/>
      <c r="L5" s="81"/>
    </row>
    <row r="6" spans="1:13">
      <c r="A6" s="73"/>
      <c r="B6" s="74"/>
      <c r="C6" s="74"/>
      <c r="D6" s="18" t="s">
        <v>73</v>
      </c>
      <c r="E6" s="18" t="s">
        <v>1</v>
      </c>
      <c r="F6" s="7" t="s">
        <v>74</v>
      </c>
      <c r="G6" s="7" t="s">
        <v>1</v>
      </c>
      <c r="H6" s="78"/>
      <c r="I6" s="79"/>
      <c r="J6" s="76"/>
      <c r="K6" s="80"/>
      <c r="L6" s="81"/>
    </row>
    <row r="7" spans="1:13" ht="30">
      <c r="A7" s="46" t="s">
        <v>88</v>
      </c>
      <c r="B7" s="46" t="s">
        <v>559</v>
      </c>
      <c r="C7" s="46" t="s">
        <v>560</v>
      </c>
      <c r="D7" s="46" t="s">
        <v>561</v>
      </c>
      <c r="E7" s="46" t="s">
        <v>562</v>
      </c>
      <c r="F7" s="46" t="s">
        <v>563</v>
      </c>
      <c r="G7" s="46" t="s">
        <v>564</v>
      </c>
      <c r="H7" s="46"/>
      <c r="I7" s="46" t="s">
        <v>565</v>
      </c>
      <c r="J7" s="46" t="s">
        <v>566</v>
      </c>
      <c r="K7" s="46" t="s">
        <v>567</v>
      </c>
      <c r="L7" s="46" t="s">
        <v>568</v>
      </c>
    </row>
    <row r="8" spans="1:13" ht="30">
      <c r="A8" s="46" t="s">
        <v>88</v>
      </c>
      <c r="B8" s="46" t="s">
        <v>569</v>
      </c>
      <c r="C8" s="46" t="s">
        <v>570</v>
      </c>
      <c r="D8" s="46" t="s">
        <v>571</v>
      </c>
      <c r="E8" s="46" t="s">
        <v>572</v>
      </c>
      <c r="F8" s="46" t="s">
        <v>573</v>
      </c>
      <c r="G8" s="46" t="s">
        <v>574</v>
      </c>
      <c r="H8" s="46"/>
      <c r="I8" s="46" t="s">
        <v>575</v>
      </c>
      <c r="J8" s="46"/>
      <c r="K8" s="46" t="s">
        <v>565</v>
      </c>
      <c r="L8" s="46" t="s">
        <v>568</v>
      </c>
    </row>
    <row r="9" spans="1:13" ht="30">
      <c r="A9" s="46" t="s">
        <v>88</v>
      </c>
      <c r="B9" s="46" t="s">
        <v>365</v>
      </c>
      <c r="C9" s="46" t="s">
        <v>576</v>
      </c>
      <c r="D9" s="46" t="s">
        <v>577</v>
      </c>
      <c r="E9" s="46" t="s">
        <v>578</v>
      </c>
      <c r="F9" s="46" t="s">
        <v>579</v>
      </c>
      <c r="G9" s="46" t="s">
        <v>564</v>
      </c>
      <c r="H9" s="46"/>
      <c r="I9" s="46" t="s">
        <v>580</v>
      </c>
      <c r="J9" s="46"/>
      <c r="K9" s="46" t="s">
        <v>581</v>
      </c>
      <c r="L9" s="46" t="s">
        <v>582</v>
      </c>
    </row>
  </sheetData>
  <mergeCells count="16">
    <mergeCell ref="J5:J6"/>
    <mergeCell ref="A1:M1"/>
    <mergeCell ref="B2:L2"/>
    <mergeCell ref="B3:L3"/>
    <mergeCell ref="B4:C4"/>
    <mergeCell ref="D4:E4"/>
    <mergeCell ref="F4:G4"/>
    <mergeCell ref="K4:K6"/>
    <mergeCell ref="L4:L6"/>
    <mergeCell ref="A5:A6"/>
    <mergeCell ref="B5:B6"/>
    <mergeCell ref="C5:C6"/>
    <mergeCell ref="D5:E5"/>
    <mergeCell ref="F5:G5"/>
    <mergeCell ref="H5:H6"/>
    <mergeCell ref="I5:I6"/>
  </mergeCells>
  <phoneticPr fontId="6" type="noConversion"/>
  <hyperlinks>
    <hyperlink ref="A1" location="'Objetos de Dominio'!A1" display="Volver al inicio" xr:uid="{0F0C762A-2AF4-462C-9472-1A97A625D630}"/>
    <hyperlink ref="A1:M1" location="'Listado Objetos de Dominio'!A1" display="&lt;-Volver al inicio" xr:uid="{3F15A188-5D85-4744-BB74-AB4FF8136F8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c64bb3-cb7a-4fe9-88a1-7ff1075f30e8">
      <Terms xmlns="http://schemas.microsoft.com/office/infopath/2007/PartnerControls"/>
    </lcf76f155ced4ddcb4097134ff3c332f>
    <TaxCatchAll xmlns="0781251d-e4d8-450f-899a-ee8df7b83b5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E00E38F6D3014A8F884FC2DDE00A5F" ma:contentTypeVersion="10" ma:contentTypeDescription="Crear nuevo documento." ma:contentTypeScope="" ma:versionID="a2b2f06b5afc9fcb8506d5e906873c87">
  <xsd:schema xmlns:xsd="http://www.w3.org/2001/XMLSchema" xmlns:xs="http://www.w3.org/2001/XMLSchema" xmlns:p="http://schemas.microsoft.com/office/2006/metadata/properties" xmlns:ns2="56c64bb3-cb7a-4fe9-88a1-7ff1075f30e8" xmlns:ns3="0781251d-e4d8-450f-899a-ee8df7b83b53" targetNamespace="http://schemas.microsoft.com/office/2006/metadata/properties" ma:root="true" ma:fieldsID="1a968010c303fd1d2567b445c757f185" ns2:_="" ns3:_="">
    <xsd:import namespace="56c64bb3-cb7a-4fe9-88a1-7ff1075f30e8"/>
    <xsd:import namespace="0781251d-e4d8-450f-899a-ee8df7b83b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64bb3-cb7a-4fe9-88a1-7ff1075f3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1251d-e4d8-450f-899a-ee8df7b83b5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66b1ff-f4f7-4666-8b74-05ce9b72cee4}" ma:internalName="TaxCatchAll" ma:showField="CatchAllData" ma:web="0781251d-e4d8-450f-899a-ee8df7b83b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038022-656B-4A1B-A485-51A1972238BD}"/>
</file>

<file path=customXml/itemProps2.xml><?xml version="1.0" encoding="utf-8"?>
<ds:datastoreItem xmlns:ds="http://schemas.openxmlformats.org/officeDocument/2006/customXml" ds:itemID="{6724C681-8A04-4D66-BB1C-57F7466573C0}"/>
</file>

<file path=customXml/itemProps3.xml><?xml version="1.0" encoding="utf-8"?>
<ds:datastoreItem xmlns:ds="http://schemas.openxmlformats.org/officeDocument/2006/customXml" ds:itemID="{FA83BFC5-BF59-43A6-ABE4-059F30E9AE67}"/>
</file>

<file path=docMetadata/LabelInfo.xml><?xml version="1.0" encoding="utf-8"?>
<clbl:labelList xmlns:clbl="http://schemas.microsoft.com/office/2020/mipLabelMetadata">
  <clbl:label id="{86cab09b-e61a-4c01-96e7-67fc9e3d8cd5}" enabled="1" method="Standard" siteId="{bf1ce8b5-5d39-4bc5-ad6e-07b3e4d7d67a}" contentBits="8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Alexander Cardona Alzate</cp:lastModifiedBy>
  <cp:revision/>
  <dcterms:created xsi:type="dcterms:W3CDTF">2023-03-15T04:00:09Z</dcterms:created>
  <dcterms:modified xsi:type="dcterms:W3CDTF">2026-01-24T02:57:21Z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2023-03-15T04:21:21Z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1284b033-3469-4be1-8291-3532cb7ee350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0x0101009AE00E38F6D3014A8F884FC2DDE00A5F</vt:lpwstr>
  </property>
  <property fmtid="{D5CDD505-2E9C-101B-9397-08002B2CF9AE}" pid="12" name="MediaServiceImageTags">
    <vt:lpwstr/>
  </property>
</Properties>
</file>